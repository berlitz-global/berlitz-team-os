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drawings/drawing1.xml" ContentType="application/vnd.openxmlformats-officedocument.drawing+xml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xl/threadedComments/threadedComment1.xml" ContentType="application/vnd.ms-excel.threadedcomments+xml"/>
  <Override PartName="/xl/comments4.xml" ContentType="application/vnd.openxmlformats-officedocument.spreadsheetml.comments+xml"/>
  <Override PartName="/xl/comments5.xml" ContentType="application/vnd.openxmlformats-officedocument.spreadsheetml.comments+xml"/>
  <Override PartName="/xl/comments6.xml" ContentType="application/vnd.openxmlformats-officedocument.spreadsheetml.comments+xml"/>
  <Override PartName="/xl/comments7.xml" ContentType="application/vnd.openxmlformats-officedocument.spreadsheetml.comments+xml"/>
  <Override PartName="/xl/persons/person.xml" ContentType="application/vnd.ms-excel.person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607"/>
  <workbookPr/>
  <mc:AlternateContent xmlns:mc="http://schemas.openxmlformats.org/markup-compatibility/2006">
    <mc:Choice Requires="x15">
      <x15ac:absPath xmlns:x15ac="http://schemas.microsoft.com/office/spreadsheetml/2010/11/ac" url="/Users/jan/Documents/GitHub/berlitz-team-os/product-development/product/strategy/business-context/"/>
    </mc:Choice>
  </mc:AlternateContent>
  <xr:revisionPtr revIDLastSave="0" documentId="8_{C52A2490-02C0-7045-B2AC-AF18E2B86296}" xr6:coauthVersionLast="47" xr6:coauthVersionMax="47" xr10:uidLastSave="{00000000-0000-0000-0000-000000000000}"/>
  <bookViews>
    <workbookView xWindow="0" yWindow="660" windowWidth="27040" windowHeight="17560" tabRatio="500" firstSheet="1" activeTab="2" xr2:uid="{00000000-000D-0000-FFFF-FFFF00000000}"/>
  </bookViews>
  <sheets>
    <sheet name="Assumptions" sheetId="1" r:id="rId1"/>
    <sheet name="Feature Cost Build" sheetId="2" r:id="rId2"/>
    <sheet name="User &amp; Revenue Model" sheetId="3" r:id="rId3"/>
    <sheet name="Content Generation" sheetId="4" r:id="rId4"/>
    <sheet name="Tool — Avatar" sheetId="5" r:id="rId5"/>
    <sheet name="Tool — Voice AI" sheetId="6" r:id="rId6"/>
    <sheet name="Tool — Pronunciation" sheetId="7" r:id="rId7"/>
    <sheet name="Tool — LLM" sheetId="8" r:id="rId8"/>
    <sheet name="Open Items" sheetId="9" r:id="rId9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17" i="3" l="1"/>
  <c r="G22" i="3" s="1"/>
  <c r="D18" i="2"/>
  <c r="D22" i="2"/>
  <c r="D23" i="2" s="1"/>
  <c r="D24" i="2" s="1"/>
  <c r="C19" i="8"/>
  <c r="W7" i="2" s="1"/>
  <c r="P7" i="2" s="1"/>
  <c r="C18" i="8"/>
  <c r="V7" i="2" s="1"/>
  <c r="O7" i="2" s="1"/>
  <c r="C17" i="8"/>
  <c r="U7" i="2" s="1"/>
  <c r="N7" i="2" s="1"/>
  <c r="C16" i="8"/>
  <c r="T7" i="2" s="1"/>
  <c r="M7" i="2" s="1"/>
  <c r="C15" i="8"/>
  <c r="S7" i="2" s="1"/>
  <c r="C14" i="8"/>
  <c r="R7" i="2" s="1"/>
  <c r="K7" i="2" s="1"/>
  <c r="C18" i="7"/>
  <c r="W9" i="2" s="1"/>
  <c r="P9" i="2" s="1"/>
  <c r="C17" i="7"/>
  <c r="V9" i="2" s="1"/>
  <c r="O9" i="2" s="1"/>
  <c r="C16" i="7"/>
  <c r="U9" i="2" s="1"/>
  <c r="N9" i="2" s="1"/>
  <c r="C15" i="7"/>
  <c r="T9" i="2" s="1"/>
  <c r="M9" i="2" s="1"/>
  <c r="C14" i="7"/>
  <c r="S9" i="2" s="1"/>
  <c r="C13" i="7"/>
  <c r="R9" i="2" s="1"/>
  <c r="K9" i="2" s="1"/>
  <c r="C35" i="6"/>
  <c r="C34" i="6"/>
  <c r="C33" i="6"/>
  <c r="C32" i="6"/>
  <c r="C31" i="6"/>
  <c r="C30" i="6"/>
  <c r="C19" i="6"/>
  <c r="C18" i="6"/>
  <c r="C17" i="6"/>
  <c r="C16" i="6"/>
  <c r="C15" i="6"/>
  <c r="C14" i="6"/>
  <c r="C23" i="5"/>
  <c r="W22" i="2" s="1"/>
  <c r="P22" i="2" s="1"/>
  <c r="C22" i="5"/>
  <c r="V22" i="2" s="1"/>
  <c r="O22" i="2" s="1"/>
  <c r="C21" i="5"/>
  <c r="U22" i="2" s="1"/>
  <c r="N22" i="2" s="1"/>
  <c r="C20" i="5"/>
  <c r="T22" i="2" s="1"/>
  <c r="M22" i="2" s="1"/>
  <c r="C19" i="5"/>
  <c r="S22" i="2" s="1"/>
  <c r="C18" i="5"/>
  <c r="R22" i="2" s="1"/>
  <c r="B18" i="4"/>
  <c r="B13" i="4"/>
  <c r="B14" i="4" s="1"/>
  <c r="B21" i="4" s="1"/>
  <c r="B8" i="4"/>
  <c r="B41" i="2"/>
  <c r="M40" i="2"/>
  <c r="J40" i="2"/>
  <c r="J41" i="2" s="1"/>
  <c r="I40" i="2"/>
  <c r="H40" i="2"/>
  <c r="G40" i="2"/>
  <c r="M39" i="2"/>
  <c r="J39" i="2"/>
  <c r="I39" i="2"/>
  <c r="H39" i="2"/>
  <c r="G39" i="2"/>
  <c r="M38" i="2"/>
  <c r="J38" i="2"/>
  <c r="I38" i="2"/>
  <c r="H38" i="2"/>
  <c r="G38" i="2"/>
  <c r="M37" i="2"/>
  <c r="J37" i="2"/>
  <c r="I37" i="2"/>
  <c r="H37" i="2"/>
  <c r="G37" i="2"/>
  <c r="M36" i="2"/>
  <c r="J36" i="2"/>
  <c r="I36" i="2"/>
  <c r="H36" i="2"/>
  <c r="G36" i="2"/>
  <c r="I23" i="2"/>
  <c r="I24" i="2" s="1"/>
  <c r="H23" i="2"/>
  <c r="H24" i="2" s="1"/>
  <c r="G23" i="2"/>
  <c r="G24" i="2" s="1"/>
  <c r="I22" i="2"/>
  <c r="H22" i="2"/>
  <c r="G22" i="2"/>
  <c r="F22" i="2"/>
  <c r="F23" i="2" s="1"/>
  <c r="F24" i="2" s="1"/>
  <c r="E22" i="2"/>
  <c r="E23" i="2" s="1"/>
  <c r="E24" i="2" s="1"/>
  <c r="P11" i="2"/>
  <c r="O11" i="2"/>
  <c r="N11" i="2"/>
  <c r="M11" i="2"/>
  <c r="L11" i="2"/>
  <c r="K11" i="2"/>
  <c r="C11" i="2"/>
  <c r="I9" i="2"/>
  <c r="H9" i="2"/>
  <c r="G9" i="2"/>
  <c r="F9" i="2"/>
  <c r="E9" i="2"/>
  <c r="D9" i="2"/>
  <c r="I8" i="2"/>
  <c r="H8" i="2"/>
  <c r="G8" i="2"/>
  <c r="F8" i="2"/>
  <c r="E8" i="2"/>
  <c r="D8" i="2"/>
  <c r="I7" i="2"/>
  <c r="H7" i="2"/>
  <c r="G7" i="2"/>
  <c r="F7" i="2"/>
  <c r="E7" i="2"/>
  <c r="I6" i="2"/>
  <c r="P6" i="2" s="1"/>
  <c r="H6" i="2"/>
  <c r="O6" i="2" s="1"/>
  <c r="G6" i="2"/>
  <c r="N6" i="2" s="1"/>
  <c r="F6" i="2"/>
  <c r="M6" i="2" s="1"/>
  <c r="E6" i="2"/>
  <c r="L6" i="2" s="1"/>
  <c r="D6" i="2"/>
  <c r="K6" i="2" s="1"/>
  <c r="C6" i="2"/>
  <c r="G32" i="3"/>
  <c r="F32" i="3"/>
  <c r="E32" i="3"/>
  <c r="D32" i="3"/>
  <c r="C32" i="3"/>
  <c r="B32" i="3"/>
  <c r="F23" i="3"/>
  <c r="E23" i="3"/>
  <c r="D23" i="3"/>
  <c r="C23" i="3"/>
  <c r="B8" i="3"/>
  <c r="B7" i="3"/>
  <c r="K22" i="2" l="1"/>
  <c r="C7" i="2"/>
  <c r="L7" i="2"/>
  <c r="C9" i="2"/>
  <c r="L9" i="2"/>
  <c r="W10" i="2"/>
  <c r="P10" i="2" s="1"/>
  <c r="W24" i="2"/>
  <c r="P24" i="2" s="1"/>
  <c r="V10" i="2"/>
  <c r="O10" i="2" s="1"/>
  <c r="V24" i="2"/>
  <c r="O24" i="2" s="1"/>
  <c r="U24" i="2"/>
  <c r="N24" i="2" s="1"/>
  <c r="U10" i="2"/>
  <c r="N10" i="2" s="1"/>
  <c r="T10" i="2"/>
  <c r="M10" i="2" s="1"/>
  <c r="T24" i="2"/>
  <c r="M24" i="2" s="1"/>
  <c r="S10" i="2"/>
  <c r="S24" i="2"/>
  <c r="R24" i="2"/>
  <c r="K24" i="2" s="1"/>
  <c r="R10" i="2"/>
  <c r="K10" i="2" s="1"/>
  <c r="W23" i="2"/>
  <c r="P23" i="2" s="1"/>
  <c r="W8" i="2"/>
  <c r="P8" i="2" s="1"/>
  <c r="P12" i="2" s="1"/>
  <c r="V23" i="2"/>
  <c r="O23" i="2" s="1"/>
  <c r="O25" i="2" s="1"/>
  <c r="V8" i="2"/>
  <c r="O8" i="2" s="1"/>
  <c r="O12" i="2" s="1"/>
  <c r="U8" i="2"/>
  <c r="N8" i="2" s="1"/>
  <c r="U23" i="2"/>
  <c r="N23" i="2" s="1"/>
  <c r="T23" i="2"/>
  <c r="M23" i="2" s="1"/>
  <c r="T8" i="2"/>
  <c r="M8" i="2" s="1"/>
  <c r="M12" i="2" s="1"/>
  <c r="S23" i="2"/>
  <c r="S8" i="2"/>
  <c r="R23" i="2"/>
  <c r="K23" i="2" s="1"/>
  <c r="K25" i="2" s="1"/>
  <c r="R8" i="2"/>
  <c r="K8" i="2" s="1"/>
  <c r="K12" i="2" s="1"/>
  <c r="C22" i="2"/>
  <c r="L22" i="2"/>
  <c r="B24" i="4"/>
  <c r="B26" i="4" s="1"/>
  <c r="B34" i="4" s="1"/>
  <c r="B30" i="4"/>
  <c r="B31" i="4" s="1"/>
  <c r="I41" i="2"/>
  <c r="K40" i="2"/>
  <c r="L40" i="2" s="1"/>
  <c r="K39" i="2"/>
  <c r="L39" i="2" s="1"/>
  <c r="K38" i="2"/>
  <c r="L38" i="2" s="1"/>
  <c r="K37" i="2"/>
  <c r="L37" i="2" s="1"/>
  <c r="K36" i="2"/>
  <c r="K41" i="2" s="1"/>
  <c r="L36" i="2"/>
  <c r="G27" i="3"/>
  <c r="G29" i="3"/>
  <c r="G37" i="3" s="1"/>
  <c r="G39" i="3"/>
  <c r="G40" i="3" s="1"/>
  <c r="G28" i="3"/>
  <c r="B16" i="3"/>
  <c r="B12" i="3"/>
  <c r="B15" i="3"/>
  <c r="F22" i="3" s="1"/>
  <c r="B14" i="3"/>
  <c r="E22" i="3" s="1"/>
  <c r="B13" i="3"/>
  <c r="D22" i="3" s="1"/>
  <c r="P25" i="2" l="1"/>
  <c r="C10" i="2"/>
  <c r="L10" i="2"/>
  <c r="C24" i="2"/>
  <c r="L24" i="2"/>
  <c r="C23" i="2"/>
  <c r="L23" i="2"/>
  <c r="L25" i="2" s="1"/>
  <c r="C8" i="2"/>
  <c r="L8" i="2"/>
  <c r="L12" i="2" s="1"/>
  <c r="B25" i="1"/>
  <c r="B29" i="1" s="1"/>
  <c r="B18" i="3"/>
  <c r="B57" i="3" s="1"/>
  <c r="B22" i="3"/>
  <c r="C22" i="3"/>
  <c r="B58" i="3"/>
  <c r="F29" i="3"/>
  <c r="F37" i="3" s="1"/>
  <c r="F39" i="3"/>
  <c r="F40" i="3" s="1"/>
  <c r="F27" i="3"/>
  <c r="F28" i="3"/>
  <c r="E27" i="3"/>
  <c r="E29" i="3"/>
  <c r="E37" i="3" s="1"/>
  <c r="E39" i="3"/>
  <c r="E40" i="3" s="1"/>
  <c r="E28" i="3"/>
  <c r="D28" i="3"/>
  <c r="D29" i="3"/>
  <c r="D37" i="3" s="1"/>
  <c r="D27" i="3"/>
  <c r="D39" i="3"/>
  <c r="D40" i="3" s="1"/>
  <c r="L41" i="2"/>
  <c r="N12" i="2"/>
  <c r="N25" i="2"/>
  <c r="M25" i="2"/>
  <c r="B52" i="3" l="1"/>
  <c r="B28" i="3"/>
  <c r="B61" i="3"/>
  <c r="B39" i="3"/>
  <c r="H22" i="3"/>
  <c r="B27" i="3"/>
  <c r="B29" i="3"/>
  <c r="C27" i="3"/>
  <c r="C28" i="3"/>
  <c r="C29" i="3"/>
  <c r="C37" i="3" s="1"/>
  <c r="C39" i="3"/>
  <c r="C40" i="3" s="1"/>
  <c r="H28" i="3" l="1"/>
  <c r="H39" i="3"/>
  <c r="B40" i="3"/>
  <c r="B43" i="3" s="1"/>
  <c r="H27" i="3"/>
  <c r="H29" i="3"/>
  <c r="B37" i="3"/>
  <c r="H37" i="3" s="1"/>
  <c r="E46" i="3" l="1"/>
  <c r="B59" i="3"/>
  <c r="H40" i="3"/>
  <c r="B42" i="3"/>
  <c r="B60" i="3"/>
  <c r="B41" i="1"/>
  <c r="B46" i="3" l="1"/>
  <c r="B47" i="3"/>
  <c r="B48" i="3" s="1"/>
  <c r="B30" i="1"/>
  <c r="P26" i="2"/>
  <c r="P27" i="2" s="1"/>
  <c r="G31" i="3" s="1"/>
  <c r="N26" i="2"/>
  <c r="N27" i="2" s="1"/>
  <c r="E31" i="3" s="1"/>
  <c r="L26" i="2"/>
  <c r="L27" i="2" s="1"/>
  <c r="C31" i="3" s="1"/>
  <c r="O13" i="2"/>
  <c r="O14" i="2" s="1"/>
  <c r="F30" i="3" s="1"/>
  <c r="F34" i="3" s="1"/>
  <c r="L13" i="2"/>
  <c r="L14" i="2" s="1"/>
  <c r="C30" i="3" s="1"/>
  <c r="C34" i="3" s="1"/>
  <c r="O26" i="2"/>
  <c r="O27" i="2" s="1"/>
  <c r="F31" i="3" s="1"/>
  <c r="M26" i="2"/>
  <c r="M27" i="2" s="1"/>
  <c r="D31" i="3" s="1"/>
  <c r="K26" i="2"/>
  <c r="K27" i="2" s="1"/>
  <c r="B31" i="3" s="1"/>
  <c r="N13" i="2"/>
  <c r="N14" i="2" s="1"/>
  <c r="E30" i="3" s="1"/>
  <c r="E34" i="3" s="1"/>
  <c r="M13" i="2"/>
  <c r="M14" i="2" s="1"/>
  <c r="D30" i="3" s="1"/>
  <c r="D34" i="3" s="1"/>
  <c r="K13" i="2"/>
  <c r="K14" i="2" s="1"/>
  <c r="B30" i="3" s="1"/>
  <c r="B34" i="3" s="1"/>
  <c r="P13" i="2"/>
  <c r="P14" i="2" s="1"/>
  <c r="G30" i="3" s="1"/>
  <c r="G34" i="3" s="1"/>
  <c r="G35" i="3" l="1"/>
  <c r="G33" i="3"/>
  <c r="E35" i="3"/>
  <c r="E33" i="3"/>
  <c r="C35" i="3"/>
  <c r="C33" i="3"/>
  <c r="F35" i="3"/>
  <c r="F33" i="3"/>
  <c r="D35" i="3"/>
  <c r="D33" i="3"/>
  <c r="B35" i="3"/>
  <c r="B33" i="3"/>
  <c r="H34" i="3"/>
  <c r="E38" i="3" l="1"/>
  <c r="E36" i="3"/>
  <c r="E43" i="3" s="1"/>
  <c r="G36" i="3"/>
  <c r="G43" i="3" s="1"/>
  <c r="G38" i="3"/>
  <c r="C36" i="3"/>
  <c r="C43" i="3" s="1"/>
  <c r="C38" i="3"/>
  <c r="F36" i="3"/>
  <c r="F43" i="3" s="1"/>
  <c r="F38" i="3"/>
  <c r="D36" i="3"/>
  <c r="D43" i="3" s="1"/>
  <c r="D38" i="3"/>
  <c r="B36" i="3"/>
  <c r="H35" i="3"/>
  <c r="H36" i="3" s="1"/>
  <c r="H43" i="3" s="1"/>
  <c r="B38" i="3"/>
  <c r="B41" i="3" s="1"/>
  <c r="E42" i="3" l="1"/>
  <c r="E41" i="3"/>
  <c r="F41" i="3"/>
  <c r="F42" i="3"/>
  <c r="D42" i="3"/>
  <c r="D41" i="3"/>
  <c r="G41" i="3"/>
  <c r="G42" i="3"/>
  <c r="C41" i="3"/>
  <c r="C42" i="3"/>
  <c r="H38" i="3"/>
  <c r="H41" i="3" l="1"/>
  <c r="B49" i="3"/>
  <c r="H42" i="3"/>
  <c r="B62" i="3" l="1"/>
  <c r="B63" i="3" s="1"/>
  <c r="B50" i="3"/>
  <c r="B53" i="3" l="1"/>
  <c r="B54" i="3" s="1"/>
  <c r="B51" i="3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Model</author>
  </authors>
  <commentList>
    <comment ref="B14" authorId="0" shapeId="0" xr:uid="{00000000-0006-0000-0000-000001000000}">
      <text>
        <r>
          <rPr>
            <sz val="11"/>
            <color theme="1"/>
            <rFont val="Calibri"/>
            <family val="2"/>
            <charset val="1"/>
          </rPr>
          <t>Jan-confirmed.</t>
        </r>
      </text>
    </comment>
    <comment ref="B19" authorId="0" shapeId="0" xr:uid="{00000000-0006-0000-0000-000002000000}">
      <text>
        <r>
          <rPr>
            <sz val="11"/>
            <color rgb="FF000000"/>
            <rFont val="Calibri"/>
            <family val="2"/>
            <charset val="1"/>
          </rPr>
          <t>Jan-confirmed.</t>
        </r>
      </text>
    </comment>
    <comment ref="B20" authorId="0" shapeId="0" xr:uid="{00000000-0006-0000-0000-000003000000}">
      <text>
        <r>
          <rPr>
            <sz val="11"/>
            <color theme="1"/>
            <rFont val="Calibri"/>
            <family val="2"/>
            <charset val="1"/>
          </rPr>
          <t>Jan-confirmed.</t>
        </r>
      </text>
    </comment>
    <comment ref="B21" authorId="0" shapeId="0" xr:uid="{00000000-0006-0000-0000-000004000000}">
      <text>
        <r>
          <rPr>
            <sz val="11"/>
            <color theme="1"/>
            <rFont val="Calibri"/>
            <family val="2"/>
            <charset val="1"/>
          </rPr>
          <t>Placeholder.</t>
        </r>
      </text>
    </comment>
    <comment ref="B22" authorId="0" shapeId="0" xr:uid="{00000000-0006-0000-0000-000005000000}">
      <text>
        <r>
          <rPr>
            <sz val="11"/>
            <color theme="1"/>
            <rFont val="Calibri"/>
            <family val="2"/>
            <charset val="1"/>
          </rPr>
          <t>Placeholder.</t>
        </r>
      </text>
    </comment>
    <comment ref="B25" authorId="0" shapeId="0" xr:uid="{00000000-0006-0000-0000-000006000000}">
      <text>
        <r>
          <rPr>
            <sz val="11"/>
            <color theme="1"/>
            <rFont val="Calibri"/>
            <family val="2"/>
            <charset val="1"/>
          </rPr>
          <t>PLACEHOLDER.</t>
        </r>
      </text>
    </comment>
    <comment ref="B40" authorId="0" shapeId="0" xr:uid="{00000000-0006-0000-0000-000007000000}">
      <text>
        <r>
          <rPr>
            <sz val="11"/>
            <color theme="1"/>
            <rFont val="Calibri"/>
            <family val="2"/>
            <charset val="1"/>
          </rPr>
          <t>Spot ~May 2026. Update.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Model</author>
  </authors>
  <commentList>
    <comment ref="D7" authorId="0" shapeId="0" xr:uid="{00000000-0006-0000-0100-000001000000}">
      <text>
        <r>
          <rPr>
            <sz val="11"/>
            <color theme="1"/>
            <rFont val="Calibri"/>
            <family val="2"/>
            <charset val="1"/>
          </rPr>
          <t>1 = used at full intensity per session</t>
        </r>
      </text>
    </comment>
    <comment ref="E9" authorId="0" shapeId="0" xr:uid="{00000000-0006-0000-0100-000002000000}">
      <text>
        <r>
          <rPr>
            <sz val="11"/>
            <color theme="1"/>
            <rFont val="Calibri"/>
            <family val="2"/>
            <charset val="1"/>
          </rPr>
          <t>Heavy use in Better tier</t>
        </r>
      </text>
    </comment>
    <comment ref="F9" authorId="0" shapeId="0" xr:uid="{00000000-0006-0000-0100-000003000000}">
      <text>
        <r>
          <rPr>
            <sz val="11"/>
            <color theme="1"/>
            <rFont val="Calibri"/>
            <family val="2"/>
            <charset val="1"/>
          </rPr>
          <t>Best gets full pronunciation scoring (live + AI side both feed in)</t>
        </r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tc={9F38497B-FD8C-134F-B11C-257B236621CE}</author>
  </authors>
  <commentList>
    <comment ref="B26" authorId="0" shapeId="0" xr:uid="{9F38497B-FD8C-134F-B11C-257B236621CE}">
      <text>
        <t>[Threaded comment]
Your version of Excel allows you to read this threaded comment; however, any edits to it will get removed if the file is opened in a newer version of Excel. Learn more: https://go.microsoft.com/fwlink/?linkid=870924
Comment:
    this should be a one time thing to get people hooked. 10 min lenght but only one session per year</t>
      </text>
    </comment>
  </commentList>
</comments>
</file>

<file path=xl/comments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Claude — validated Jun 2026 via browser</author>
  </authors>
  <commentList>
    <comment ref="A1" authorId="0" shapeId="0" xr:uid="{00000000-0006-0000-0400-000001000000}">
      <text>
        <r>
          <rPr>
            <sz val="11"/>
            <color theme="1"/>
            <rFont val="Calibri"/>
            <family val="2"/>
            <charset val="1"/>
          </rPr>
          <t>Validated Jun 2026: avatar vendors do NOT publish public per-minute streaming/interactive pricing.
- Simli /pricing 404s.
- HeyGen page is consumer credit-based; interactive avatar is enterprise/contact-sales.
- Tavus/Anam similar.
Prices here are estimates - request enterprise quotes for ~2M-user volume.</t>
        </r>
      </text>
    </comment>
  </commentList>
</comments>
</file>

<file path=xl/comments5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Claude — validated Jun 2026 via browser</author>
  </authors>
  <commentList>
    <comment ref="A1" authorId="0" shapeId="0" xr:uid="{00000000-0006-0000-0500-000001000000}">
      <text>
        <r>
          <rPr>
            <sz val="11"/>
            <color theme="1"/>
            <rFont val="Calibri"/>
            <family val="2"/>
            <charset val="1"/>
          </rPr>
          <t>Validated Jun 2026 via browser.
ASR: Azure committed 50k-hr tier $0.50/hr=$0.0083/min (Berlitz 10k-hr tier=$0.65/hr); cheaper option OpenAI gpt-4o-mini-transcribe $0.003/min; Deepgram Nova-3 Growth $0.0042/min.
TTS: Azure Neural committed $7.50/1M chars=$0.0068/min (current stack); ElevenLabs Business $0.05/min.
For ~2M users pick the highest Azure commitment tier (50k-hr / disconnected container ~$0.475/hr).</t>
        </r>
      </text>
    </comment>
  </commentList>
</comments>
</file>

<file path=xl/comments6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Claude</author>
  </authors>
  <commentList>
    <comment ref="A1" authorId="0" shapeId="0" xr:uid="{00000000-0006-0000-0600-000001000000}">
      <text>
        <r>
          <rPr>
            <sz val="11"/>
            <color theme="1"/>
            <rFont val="Calibri"/>
            <family val="2"/>
            <charset val="1"/>
          </rPr>
          <t>Time-based, tied to user-speech (STT) minutes x coverage% (Assumptions!B10=100%). STT share raised to 15% so user-speech ~ half the avatar interaction. Applies to ALL tiers incl. Free. Azure pron-assessment bash.30/hr PAYG / bash.15/hr committed = current Berlitz provider.</t>
        </r>
      </text>
    </comment>
  </commentList>
</comments>
</file>

<file path=xl/comments7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Claude — pricing validation Jun 2026</author>
  </authors>
  <commentList>
    <comment ref="A1" authorId="0" shapeId="0" xr:uid="{00000000-0006-0000-0700-000001000000}">
      <text>
        <r>
          <rPr>
            <sz val="11"/>
            <color theme="1"/>
            <rFont val="Calibri"/>
            <family val="2"/>
            <charset val="1"/>
          </rPr>
          <t>Claude API rates validated Jun 2026 (claude.com/pricing). Blended $/1k assumes ~3:1 input:output. No flat volume discount on standard API — at ~2M-user scale negotiate committed-spend (Enterprise) discount; Batch processing -50% for async; prompt caching reduces repeated-context cost.</t>
        </r>
      </text>
    </comment>
  </commentList>
</comments>
</file>

<file path=xl/sharedStrings.xml><?xml version="1.0" encoding="utf-8"?>
<sst xmlns="http://schemas.openxmlformats.org/spreadsheetml/2006/main" count="553" uniqueCount="380">
  <si>
    <t>BERLITZ COST MODEL — GLOBAL ASSUMPTIONS (v0.2.8)</t>
  </si>
  <si>
    <t>BLUE = input · BLACK = formula · GREEN = cross-sheet link · YELLOW = placeholder needing real data</t>
  </si>
  <si>
    <t>SESSION SETUP (30-min sessions; tiers differ by feature mix, not length)</t>
  </si>
  <si>
    <t>Standard session length (min)</t>
  </si>
  <si>
    <t>STT share of session (%)</t>
  </si>
  <si>
    <t>TTS share of session (%)</t>
  </si>
  <si>
    <t>AI tutor share of session — Plus/Pro/Career/Ent (%)</t>
  </si>
  <si>
    <t>LLM dialogue tokens / session (k) — Plus/Pro/Career/Ent</t>
  </si>
  <si>
    <t>Pronunciation coverage of user-speech / STT (%)</t>
  </si>
  <si>
    <t>PRICING &amp; PLANS (subscription, monthly $)</t>
  </si>
  <si>
    <t>Free plan price ($/mo)</t>
  </si>
  <si>
    <t>Plus plan price ($/mo)</t>
  </si>
  <si>
    <t>Pro plan price ($/mo)</t>
  </si>
  <si>
    <t>Premium plan price ($/mo)</t>
  </si>
  <si>
    <t>Payment processing % of revenue</t>
  </si>
  <si>
    <t>Career plan price ($/mo)</t>
  </si>
  <si>
    <t>BEST TIER HUMAN ECONOMICS</t>
  </si>
  <si>
    <t>Teacher pay per session (€) — live + prep</t>
  </si>
  <si>
    <t>Live delivery infra per session (€) — fully loaded</t>
  </si>
  <si>
    <t>No-show rate</t>
  </si>
  <si>
    <t>Teacher paid % on no-show</t>
  </si>
  <si>
    <t>ANNUAL FIXED COSTS (€/yr — all placeholders, refine with real data)</t>
  </si>
  <si>
    <t>Curriculum content generation (€/yr) — Content Generation sheet</t>
  </si>
  <si>
    <t>Platform infra (€/yr)</t>
  </si>
  <si>
    <t>R&amp;D, QA, compliance (€/yr)</t>
  </si>
  <si>
    <t>Customer support (€/yr)</t>
  </si>
  <si>
    <t>TOTAL fixed (€/yr)</t>
  </si>
  <si>
    <t>Fixed cost per session (€) — flat allocation</t>
  </si>
  <si>
    <t>MOBILE APP PLANS — credits &amp; references</t>
  </si>
  <si>
    <t>Plus credits / month</t>
  </si>
  <si>
    <t>Pro credits / month</t>
  </si>
  <si>
    <t>Plus price (Rs/mo, ref)</t>
  </si>
  <si>
    <t>Pro price (Rs/mo, ref)</t>
  </si>
  <si>
    <t>Markets</t>
  </si>
  <si>
    <t>India, Chile</t>
  </si>
  <si>
    <t>GLOBAL</t>
  </si>
  <si>
    <t>USD → EUR FX rate</t>
  </si>
  <si>
    <t>Total annual AI sessions (for content allocation)</t>
  </si>
  <si>
    <t>FEATURE COST BUILD — per-tier AI-session cost. Uniform 30-min session; tiers differ by feature time-mix. Human teacher costed separately.</t>
  </si>
  <si>
    <t>Each row = a feature. Intensity = minutes/tokens/utterances per session. Per-tier unit cost reflects each tier’s selected vendor. Cost = unit × intensity.</t>
  </si>
  <si>
    <t>AI Powered Practice</t>
  </si>
  <si>
    <t>Feature</t>
  </si>
  <si>
    <t>Unit driver</t>
  </si>
  <si>
    <t>Unit € (Plus ref)</t>
  </si>
  <si>
    <t>Free intensity</t>
  </si>
  <si>
    <t>Plus intensity</t>
  </si>
  <si>
    <t>Pro intensity</t>
  </si>
  <si>
    <t>Career intensity</t>
  </si>
  <si>
    <t>Premium intensity</t>
  </si>
  <si>
    <t>Enterprise intensity</t>
  </si>
  <si>
    <t>Cost / Free (€)</t>
  </si>
  <si>
    <t>Cost / Plus (€)</t>
  </si>
  <si>
    <t>Cost / Pro (€)</t>
  </si>
  <si>
    <t>Cost / Career (€)</t>
  </si>
  <si>
    <t>Cost / Premium (€)</t>
  </si>
  <si>
    <t>Cost / Enterprise (€)</t>
  </si>
  <si>
    <t>Free unit €</t>
  </si>
  <si>
    <t>Plus unit €</t>
  </si>
  <si>
    <t>Pro unit €</t>
  </si>
  <si>
    <t>Career unit €</t>
  </si>
  <si>
    <t>Premium unit €</t>
  </si>
  <si>
    <t>Enterprise unit €</t>
  </si>
  <si>
    <t>Basic curriculum (2026 baseline)</t>
  </si>
  <si>
    <t>Allocated via fixed costs</t>
  </si>
  <si>
    <t>LLM inference / dialogue</t>
  </si>
  <si>
    <t>tokens (1k blended)</t>
  </si>
  <si>
    <t>Voice — ASR (speech-to-text)</t>
  </si>
  <si>
    <t>voice-minutes</t>
  </si>
  <si>
    <t>Pronunciation assessment (user speech)</t>
  </si>
  <si>
    <t>minutes (user speech)</t>
  </si>
  <si>
    <t>Voice — TTS (text-to-speech)</t>
  </si>
  <si>
    <t>Payment processing — excluded (see P&amp;L)</t>
  </si>
  <si>
    <t>—</t>
  </si>
  <si>
    <t>Variable Cost Session</t>
  </si>
  <si>
    <t>Content/curriculum generation (amortised €/session)</t>
  </si>
  <si>
    <t>TOTAL COST / SESSION incl. content (€)</t>
  </si>
  <si>
    <t>Human  Teacher</t>
  </si>
  <si>
    <t>Human teacher (live + prep) — costed per booking</t>
  </si>
  <si>
    <t>1 session</t>
  </si>
  <si>
    <t>AI tutor</t>
  </si>
  <si>
    <t>AI tutor (interactive avatar)</t>
  </si>
  <si>
    <t>avatar-minutes</t>
  </si>
  <si>
    <t>Variable Cost AI Tutor</t>
  </si>
  <si>
    <t>SRIKANT'S SIMPLIFIED MODEL — per 1,000 users / month (5 tiers)</t>
  </si>
  <si>
    <t>Reverse-engineered from Srikant’s table: flat $2 AI/user/mo · teacher light · ~16% app-store fee · LTV ≈ 16.5 × monthly price. Sessions/mo = added assumption (not in his model).</t>
  </si>
  <si>
    <t>App-store / payment fee % of revenue</t>
  </si>
  <si>
    <t>Tier</t>
  </si>
  <si>
    <t>Users /1k</t>
  </si>
  <si>
    <t>Price $/mo</t>
  </si>
  <si>
    <t>AI $/user/mo</t>
  </si>
  <si>
    <t>Teacher $/user/mo</t>
  </si>
  <si>
    <t>Sessions/user/mo</t>
  </si>
  <si>
    <t>Price / session $</t>
  </si>
  <si>
    <t>Cost / session $</t>
  </si>
  <si>
    <t>Revenue $/mo</t>
  </si>
  <si>
    <t>AI+Teacher $/mo</t>
  </si>
  <si>
    <t>App-fee $/mo</t>
  </si>
  <si>
    <t>Gross profit $/mo</t>
  </si>
  <si>
    <t>LTV $</t>
  </si>
  <si>
    <t>Free</t>
  </si>
  <si>
    <t>Plus</t>
  </si>
  <si>
    <t>Pro</t>
  </si>
  <si>
    <t>Career</t>
  </si>
  <si>
    <t>Premium</t>
  </si>
  <si>
    <t>TOTAL</t>
  </si>
  <si>
    <t>USER &amp; REVENUE MODEL — Free / Plus / Pro / Career / Premium / Enterprise</t>
  </si>
  <si>
    <t>BLUE = input · BLACK = formula · GREEN = link · YELLOW = key assumption. Practice &amp; Tutor sessions costed independently; revenue $→€ via Assumptions!B40.</t>
  </si>
  <si>
    <t>USER BASE &amp; CONVERSION FUNNEL</t>
  </si>
  <si>
    <t>Freemium signups</t>
  </si>
  <si>
    <t>Free → paid conversion rate</t>
  </si>
  <si>
    <t>Stated range 18–25%</t>
  </si>
  <si>
    <t>Total paid subscribers (excl. Enterprise)</t>
  </si>
  <si>
    <t>% of paid on Plus (remainder)</t>
  </si>
  <si>
    <t>% of paid on Pro</t>
  </si>
  <si>
    <t>% of paid on Career</t>
  </si>
  <si>
    <t>% of paid on Premium</t>
  </si>
  <si>
    <t>Plus subscribers</t>
  </si>
  <si>
    <t>Pro subscribers</t>
  </si>
  <si>
    <t>Career subscribers</t>
  </si>
  <si>
    <t>Premium subscribers</t>
  </si>
  <si>
    <t>Free (non-converting) users</t>
  </si>
  <si>
    <t>Cost-bearing, no revenue</t>
  </si>
  <si>
    <t>Enterprise seats (B2B)</t>
  </si>
  <si>
    <t>B2B seats — Pro-style usage</t>
  </si>
  <si>
    <t>Total cost-bearing users</t>
  </si>
  <si>
    <t>SEGMENT ECONOMICS (annual)</t>
  </si>
  <si>
    <t>Enterprise</t>
  </si>
  <si>
    <t>Total</t>
  </si>
  <si>
    <t>Subscribers / users</t>
  </si>
  <si>
    <t>Plan price ($/seat/mo)</t>
  </si>
  <si>
    <t>AI practice sessions / user / mo</t>
  </si>
  <si>
    <t>AI tutor sessions / user / mo</t>
  </si>
  <si>
    <t>Human sessions / user / mo</t>
  </si>
  <si>
    <t>Annual AI practice sessions</t>
  </si>
  <si>
    <t>Annual AI tutor sessions</t>
  </si>
  <si>
    <t>Annual human sessions</t>
  </si>
  <si>
    <t>AI practice cost / session (€)</t>
  </si>
  <si>
    <t>AI tutor cost / session (€)</t>
  </si>
  <si>
    <t>Human cost / session (€)</t>
  </si>
  <si>
    <t>Cost / month (€)</t>
  </si>
  <si>
    <t>Annual AI practice cost (€)</t>
  </si>
  <si>
    <t>Annual AI tutor cost (€)</t>
  </si>
  <si>
    <t>Annual AI cost (€)</t>
  </si>
  <si>
    <t>Annual human cost (€)</t>
  </si>
  <si>
    <t>Annual variable cost (€)</t>
  </si>
  <si>
    <t>Annual revenue ($)</t>
  </si>
  <si>
    <t>Annual revenue (€)</t>
  </si>
  <si>
    <t>Margin (€)</t>
  </si>
  <si>
    <t>Contribution margin (%)</t>
  </si>
  <si>
    <t>AI cost/revenue</t>
  </si>
  <si>
    <t>P&amp;L SUMMARY (€/yr)</t>
  </si>
  <si>
    <t>Gross revenue (€)</t>
  </si>
  <si>
    <t>ARPU / paying ($/mo)</t>
  </si>
  <si>
    <t>Payment processing (€)</t>
  </si>
  <si>
    <t>2.5% of revenue</t>
  </si>
  <si>
    <t>Net revenue (€)</t>
  </si>
  <si>
    <t>Variable cost — AI practice+tutor+human (€)</t>
  </si>
  <si>
    <t>Contribution margin (€)</t>
  </si>
  <si>
    <t>Fixed cost (€)</t>
  </si>
  <si>
    <t>Annual fixed excl. content gen (in per-session cost)</t>
  </si>
  <si>
    <t>Operating result (€)</t>
  </si>
  <si>
    <t>Operating margin (%)</t>
  </si>
  <si>
    <t>KEY METRICS</t>
  </si>
  <si>
    <t>Total users</t>
  </si>
  <si>
    <t>Total paid subscribers (excl. Ent)</t>
  </si>
  <si>
    <t>Blended ARPU / paying user ($/yr)</t>
  </si>
  <si>
    <t>Total annual sessions (practice+tutor+human)</t>
  </si>
  <si>
    <t>Total implied DAU</t>
  </si>
  <si>
    <t>≈1 session/active day</t>
  </si>
  <si>
    <t>Total cost (€/yr, var+fixed+pmt)</t>
  </si>
  <si>
    <t>Cost per user (€/yr)</t>
  </si>
  <si>
    <t>CONTENT / CURRICULUM GENERATION — AI-ASSISTED HYBRID BUILD</t>
  </si>
  <si>
    <t>BLUE = input · BLACK = formula · GREEN = cross-sheet link · YELLOW = key assumption. Feeds Assumptions!B28 (curriculum line).</t>
  </si>
  <si>
    <t>CONTENT CATALOG SCOPE</t>
  </si>
  <si>
    <t>Languages in catalog</t>
  </si>
  <si>
    <t>Distinct languages offered</t>
  </si>
  <si>
    <t>CEFR levels per language (A1–C2)</t>
  </si>
  <si>
    <t>A1, A2, B1, B2, C1, C2</t>
  </si>
  <si>
    <t>Lessons per level</t>
  </si>
  <si>
    <t>Authored lesson units per level</t>
  </si>
  <si>
    <t>Total lessons in catalog</t>
  </si>
  <si>
    <t>languages x levels x lessons</t>
  </si>
  <si>
    <t>PER-LESSON GENERATION COST — AI-ASSISTED HYBRID</t>
  </si>
  <si>
    <t>AI draft (LLM generation)</t>
  </si>
  <si>
    <t>Tokens per lesson (blended in+out)</t>
  </si>
  <si>
    <t>Prompt + generated lesson content</t>
  </si>
  <si>
    <t>LLM cost per 1k tokens (€)</t>
  </si>
  <si>
    <t>Selected LLM USD price × FX (Assumptions!B5)</t>
  </si>
  <si>
    <t xml:space="preserve">  AI generation cost / lesson (€)</t>
  </si>
  <si>
    <t>Human review &amp; edit</t>
  </si>
  <si>
    <t>Editor / SME hours per lesson</t>
  </si>
  <si>
    <t>Instructional-design review of AI draft</t>
  </si>
  <si>
    <t>Loaded editor rate (€/hr)</t>
  </si>
  <si>
    <t>Fully-loaded hourly cost</t>
  </si>
  <si>
    <t xml:space="preserve">  Human review cost / lesson (€)</t>
  </si>
  <si>
    <t>hours x rate</t>
  </si>
  <si>
    <t>Media &amp; localization</t>
  </si>
  <si>
    <t>Media / audio / localization per lesson (€)</t>
  </si>
  <si>
    <t>Recording, images, QA per lesson</t>
  </si>
  <si>
    <t>TOTAL COST PER LESSON (€)</t>
  </si>
  <si>
    <t>AI + human + media</t>
  </si>
  <si>
    <t>ONE-TIME BUILD (amortised)</t>
  </si>
  <si>
    <t>Total initial build cost (€)</t>
  </si>
  <si>
    <t>total lessons x cost/lesson</t>
  </si>
  <si>
    <t>Amortisation period (years)</t>
  </si>
  <si>
    <t>Useful life of authored catalog</t>
  </si>
  <si>
    <t>Amortised build cost (€/yr)</t>
  </si>
  <si>
    <t>build / years</t>
  </si>
  <si>
    <t>ANNUAL REFRESH</t>
  </si>
  <si>
    <t>Annual refresh rate (% of catalog/yr)</t>
  </si>
  <si>
    <t>Share of lessons re-authored each year</t>
  </si>
  <si>
    <t>Lessons refreshed per year</t>
  </si>
  <si>
    <t>total lessons x refresh %</t>
  </si>
  <si>
    <t>Annual refresh cost (€/yr)</t>
  </si>
  <si>
    <t>refreshed lessons x cost/lesson</t>
  </si>
  <si>
    <t>TOTAL ANNUAL CONTENT GENERATION COST</t>
  </si>
  <si>
    <t>TOTAL CONTENT GENERATION (€/yr)</t>
  </si>
  <si>
    <t>Amortised build + annual refresh → feeds Assumptions!B28</t>
  </si>
  <si>
    <t>AVATAR VENDOR DECISION</t>
  </si>
  <si>
    <t>Per-minute video avatar. NOTE: Talkio.ai bundles ASR+TTS+LLM — selecting it zeroes that tier’s separate voice cost.</t>
  </si>
  <si>
    <t>VENDOR COMPARISON</t>
  </si>
  <si>
    <t>Vendor</t>
  </si>
  <si>
    <t>Price (USD)</t>
  </si>
  <si>
    <t>Unit</t>
  </si>
  <si>
    <t>Notes</t>
  </si>
  <si>
    <t>Simli Trinity-1</t>
  </si>
  <si>
    <t>$/min</t>
  </si>
  <si>
    <t>Lip-sync only — you add voice</t>
  </si>
  <si>
    <t>Simli standard</t>
  </si>
  <si>
    <t>Simli has NO public pricing page (404 Jun2026) - API/contact-sales. Figure is estimate</t>
  </si>
  <si>
    <t>https://www.simli.com/pricing</t>
  </si>
  <si>
    <t>HeyGen LiveAvatar Lite</t>
  </si>
  <si>
    <t>HeyGen consumer plans are credit-based video gen; interactive-avatar (streaming) API = enterprise/quote. Not public per-min. Estimate</t>
  </si>
  <si>
    <t>https://www.heygen.com/pricing</t>
  </si>
  <si>
    <t>Anam.ai Starter</t>
  </si>
  <si>
    <t>Conversational; check voice bundling</t>
  </si>
  <si>
    <t>HeyGen LiveAvatar Full</t>
  </si>
  <si>
    <t>Higher fidelity</t>
  </si>
  <si>
    <t>Tavus CVI</t>
  </si>
  <si>
    <t>Conversational video; bundles voice. NOT validated live</t>
  </si>
  <si>
    <t>https://www.tavus.io/pricing</t>
  </si>
  <si>
    <t>D-ID Streaming</t>
  </si>
  <si>
    <t>Premium/enterprise</t>
  </si>
  <si>
    <t>Talkio.ai</t>
  </si>
  <si>
    <t>Talkio bundles ASR+TTS+LLM. Price is placeholder — confirm vs contract (char + per-seat)</t>
  </si>
  <si>
    <t>On-device (in-house)</t>
  </si>
  <si>
    <t>Local rendering</t>
  </si>
  <si>
    <t>SELECTED VENDOR — per tier (Free / Plus / Pro / Career / Premium / Enterprise)</t>
  </si>
  <si>
    <t>Vendor (change me)</t>
  </si>
  <si>
    <t>VOICE — ASR (speech-to-text) + TTS (text-to-speech) — priced SEPARATELY</t>
  </si>
  <si>
    <t>ASR and TTS have very different pricing, so split. Per-minute, per tier. Azure = current Berlitz voice stack.</t>
  </si>
  <si>
    <t>ASR / SPEECH-TO-TEXT — VENDOR COMPARISON</t>
  </si>
  <si>
    <t>Azure Speech (committed)</t>
  </si>
  <si>
    <t>Azure STT committed: $0.50/hr @50k-hr tier = $0.0083/min; 10k-hr tier $0.65/hr=$0.0108; PAYG $1/hr. Validated Jun2026</t>
  </si>
  <si>
    <t>https://azure.microsoft.com/en-us/pricing/details/speech/</t>
  </si>
  <si>
    <t>Deepgram Nova</t>
  </si>
  <si>
    <t>Nova-3 Monolingual, Growth (prepaid annual ~20% off); PAYG $0.0048 promo. Validated Jun 2026</t>
  </si>
  <si>
    <t>https://deepgram.com/pricing</t>
  </si>
  <si>
    <t>Whisper (self-hosted)</t>
  </si>
  <si>
    <t>OSS self-host; infra cost. ~$0.006/min ref</t>
  </si>
  <si>
    <t>OpenAI gpt-4o-mini-transcribe</t>
  </si>
  <si>
    <t>gpt-4o-mini-transcribe $0.003/min (gpt-4o-transcribe $0.006). Validated Jun2026</t>
  </si>
  <si>
    <t>Local model</t>
  </si>
  <si>
    <t>SELECTED ASR — per tier (Free / Plus / Pro / Career / Premium / Enterprise)</t>
  </si>
  <si>
    <t>TTS / TEXT-TO-SPEECH — VENDOR COMPARISON</t>
  </si>
  <si>
    <t>Azure Neural TTS (committed)</t>
  </si>
  <si>
    <t>Azure Neural TTS committed $7.50/1M chars (2,000M tier) x ~900 ch/min = $0.0068/min (=EUR6.451/1M). Validated Jun2026</t>
  </si>
  <si>
    <t>OpenAI TTS</t>
  </si>
  <si>
    <t>OpenAI now token/realtime-centric; classic tts ~$15/1M chars (~$0.0135/min); confirm. Page validated Jun2026</t>
  </si>
  <si>
    <t>https://platform.openai.com/docs/pricing</t>
  </si>
  <si>
    <t>ElevenLabs Turbo</t>
  </si>
  <si>
    <t>ElevenLabs Business plan, low-latency TTS ~$0.05/min; Enterprise lower at scale. Validated Jun 2026</t>
  </si>
  <si>
    <t>https://elevenlabs.io/pricing</t>
  </si>
  <si>
    <t>ElevenLabs Premium</t>
  </si>
  <si>
    <t>ElevenLabs standard quality ~$0.17/min (Creator..Business). Validated Jun 2026</t>
  </si>
  <si>
    <t>SELECTED TTS — per tier (Free / Plus / Pro / Career / Premium / Enterprise)</t>
  </si>
  <si>
    <t>PRONUNCIATION ASSESSMENT — time-based ($/min), runs on user speech</t>
  </si>
  <si>
    <t>Runs whenever the user speaks = user-speech (STT) minutes x coverage (Assumptions!B10). Azure = current Berlitz stack. Validated Jun 2026.</t>
  </si>
  <si>
    <t>Azure Pronunciation Assessment</t>
  </si>
  <si>
    <t>$0.30/hr PAYG; CURRENT Berlitz stack (Teams)</t>
  </si>
  <si>
    <t>Azure committed (50k-hr)</t>
  </si>
  <si>
    <t>$0.15/hr committed tier (2M-user scale)</t>
  </si>
  <si>
    <t>Speechace (per-utterance, est)</t>
  </si>
  <si>
    <t>Natively per-utterance; rough per-min equiv</t>
  </si>
  <si>
    <t>https://www.speechace.com/</t>
  </si>
  <si>
    <t>https://shop.speechace.com/subscription/signup-api/speechace-for-developers/speechace_api_premium_500_monthly</t>
  </si>
  <si>
    <t>LLM (TEXT) VENDOR DECISION</t>
  </si>
  <si>
    <t>Blended input+output token cost. Per 1,000 tokens.</t>
  </si>
  <si>
    <t>Claude Haiku 4.5</t>
  </si>
  <si>
    <t>$/1k tokens (blended)</t>
  </si>
  <si>
    <t>Haiku 4.5: $1 in / $5 out per MTok; blended ~3:1 mix = ~$2/MTok. Batch -50%. Validated Jun 2026</t>
  </si>
  <si>
    <t>https://claude.com/pricing</t>
  </si>
  <si>
    <t>Claude Sonnet 4.6 (default)</t>
  </si>
  <si>
    <t>Sonnet 4.6: $3 in / $15 out per MTok; blended ~3:1 = ~$6/MTok. Validated Jun 2026</t>
  </si>
  <si>
    <t>Claude Opus 4.6</t>
  </si>
  <si>
    <t>Opus 4.8: $5 in / $25 out per MTok; blended ~3:1 = ~$10/MTok. Validated Jun 2026</t>
  </si>
  <si>
    <t>GPT-class equivalent</t>
  </si>
  <si>
    <t>Pricing comparable</t>
  </si>
  <si>
    <t>OSS self-hosted</t>
  </si>
  <si>
    <t>Requires infra investment</t>
  </si>
  <si>
    <t>In-house on-device small model</t>
  </si>
  <si>
    <t>OPEN ITEMS — refine before any decision (tiers per berlitz-mobile-app.md)</t>
  </si>
  <si>
    <t>CATEGORY</t>
  </si>
  <si>
    <t>STATUS</t>
  </si>
  <si>
    <t>ITEM</t>
  </si>
  <si>
    <t>Volume</t>
  </si>
  <si>
    <t>Placeholder 1M/yr</t>
  </si>
  <si>
    <t>Annual sessions for fixed allocation — confirm year-3 target</t>
  </si>
  <si>
    <t>Baseline</t>
  </si>
  <si>
    <t>Confirmed (550k/800)</t>
  </si>
  <si>
    <t>Global EU/JP/US, no franchises</t>
  </si>
  <si>
    <t>Engagement</t>
  </si>
  <si>
    <t>Now modelled (User &amp; Revenue)</t>
  </si>
  <si>
    <t>Sessions/user/mo per segment + DAU; refine 4–8 range &amp; enterprise frequency</t>
  </si>
  <si>
    <t>Tier mix</t>
  </si>
  <si>
    <t>Modelled as scenarios</t>
  </si>
  <si>
    <t>Pick target mix once strategy lands</t>
  </si>
  <si>
    <t>Tool — Voice AI</t>
  </si>
  <si>
    <t>OpenAI Realtime default</t>
  </si>
  <si>
    <t>Validate per actual vendor</t>
  </si>
  <si>
    <t>Tool — Avatar</t>
  </si>
  <si>
    <t>HeyGen Lite default</t>
  </si>
  <si>
    <t>Trial Simli, Anam vs. Talkio.ai baseline for fidelity</t>
  </si>
  <si>
    <t>Tool — Pronunciation</t>
  </si>
  <si>
    <t>Speechace default</t>
  </si>
  <si>
    <t>Vendor &amp; pricing — could self-host</t>
  </si>
  <si>
    <t>Tool — LLM</t>
  </si>
  <si>
    <t>Claude Sonnet default</t>
  </si>
  <si>
    <t>Token budget per session is biggest uncertainty</t>
  </si>
  <si>
    <t>No-show</t>
  </si>
  <si>
    <t>Placeholder 10% / 50%-pay</t>
  </si>
  <si>
    <t>Actual rate from Berlitz ops</t>
  </si>
  <si>
    <t>Curriculum content</t>
  </si>
  <si>
    <t>Now modelled (Content Gen sheet)</t>
  </si>
  <si>
    <t>Validate per-lesson inputs: tokens/lesson, editor hours, refresh %, catalog scope</t>
  </si>
  <si>
    <t>Closed-loop engine</t>
  </si>
  <si>
    <t>Placeholder €300k/yr</t>
  </si>
  <si>
    <t>Build cost for adaptive engine</t>
  </si>
  <si>
    <t>Platform infra</t>
  </si>
  <si>
    <t>Placeholder €600k/yr</t>
  </si>
  <si>
    <t>At target volume — confirm with infra team</t>
  </si>
  <si>
    <t>R&amp;D / compliance</t>
  </si>
  <si>
    <t>Placeholder €400k/yr</t>
  </si>
  <si>
    <t>EU AI Act, GDPR, B2B SLA needs</t>
  </si>
  <si>
    <t>Support</t>
  </si>
  <si>
    <t>Placeholder €250k/yr</t>
  </si>
  <si>
    <t>Per-ticket cost × volume</t>
  </si>
  <si>
    <t>Pricing — Good/Better</t>
  </si>
  <si>
    <t>Placeholder €2 / €8</t>
  </si>
  <si>
    <t>Pricing strategy not set</t>
  </si>
  <si>
    <t>Best teacher €10</t>
  </si>
  <si>
    <t>Confirmed: live + prep</t>
  </si>
  <si>
    <t>No-show pay policy still TBD</t>
  </si>
  <si>
    <t>€5.80 infra</t>
  </si>
  <si>
    <t>Confirmed: fully loaded</t>
  </si>
  <si>
    <t>Tiers</t>
  </si>
  <si>
    <t>Now Free/Plus/Pro (mobile MVP)</t>
  </si>
  <si>
    <t>Plans: Free, Plus $19/mo (2 cr), Pro $49/mo (6 cr) — per app spec</t>
  </si>
  <si>
    <t>Feature intensities</t>
  </si>
  <si>
    <t>Mapped to mobile tiers</t>
  </si>
  <si>
    <t>Free=voice AI; Plus=AI tutor; Pro=+human. Refine minutes/utterances</t>
  </si>
  <si>
    <t>User base</t>
  </si>
  <si>
    <t>Modelled (1M free, 20% conv)</t>
  </si>
  <si>
    <t>1M freemium → 200k self-serve; 500k enterprise — confirm targets</t>
  </si>
  <si>
    <t>ARPU</t>
  </si>
  <si>
    <t>Placeholder $55 / $125 annual</t>
  </si>
  <si>
    <t>Self-serve $50–60, enterprise $100–150 — confirm period &amp; figures</t>
  </si>
  <si>
    <t>Unit economics</t>
  </si>
  <si>
    <t>FLAG: deeply negative</t>
  </si>
  <si>
    <t>Variable cost ≫ revenue at current settings — see User &amp; Revenue P&amp;L</t>
  </si>
  <si>
    <t>Voice cost</t>
  </si>
  <si>
    <t>FLAG: biggest lever</t>
  </si>
  <si>
    <t>Free is voice-first &amp; uncapped; cloud voice €0.276/min dominates — doc flags local voice models</t>
  </si>
  <si>
    <t>Credits</t>
  </si>
  <si>
    <t>Use-it-or-lose-it</t>
  </si>
  <si>
    <t>Actual credit utilisation drives cost; assumed sessions ≤ caps — refine</t>
  </si>
  <si>
    <t>Not in app spec</t>
  </si>
  <si>
    <t>500k B2B seats modelled as Pro-style usage + annual ARPU — confirm plan &amp; price</t>
  </si>
  <si>
    <t>India + Chile pilot</t>
  </si>
  <si>
    <t>Rs pricing (999/1999); 1k-signup conversion matrix in doc for pilot sizing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</si>
</sst>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4">
    <numFmt numFmtId="164" formatCode="#,##0;\(#,##0\);\-"/>
    <numFmt numFmtId="165" formatCode="0.0%;\(0.0%\);\-"/>
    <numFmt numFmtId="166" formatCode="0.0%"/>
    <numFmt numFmtId="167" formatCode="\$#,##0;&quot;($&quot;#,##0\);\-"/>
    <numFmt numFmtId="168" formatCode="\€#,##0.00;&quot;(€&quot;#,##0.00\);\-"/>
    <numFmt numFmtId="169" formatCode="\€#,##0;&quot;(€&quot;#,##0\);\-"/>
    <numFmt numFmtId="170" formatCode="0.000"/>
    <numFmt numFmtId="171" formatCode="\€#,##0.0000;&quot;(€&quot;#,##0.0000\);\-"/>
    <numFmt numFmtId="172" formatCode="0.0"/>
    <numFmt numFmtId="173" formatCode="\$#,##0;&quot;($&quot;#,##0\)"/>
    <numFmt numFmtId="174" formatCode="\$#,##0.00;&quot;($&quot;#,##0.00\)"/>
    <numFmt numFmtId="175" formatCode="#,##0.0"/>
    <numFmt numFmtId="176" formatCode="\$#,##0.000;&quot;($&quot;#,##0.000\);\-"/>
    <numFmt numFmtId="177" formatCode="\$#,##0"/>
  </numFmts>
  <fonts count="21" x14ac:knownFonts="1">
    <font>
      <sz val="11"/>
      <color theme="1"/>
      <name val="Calibri"/>
      <family val="2"/>
      <charset val="1"/>
    </font>
    <font>
      <sz val="10"/>
      <name val="Arial"/>
      <family val="2"/>
    </font>
    <font>
      <b/>
      <sz val="12"/>
      <color rgb="FFFFFFFF"/>
      <name val="Arial"/>
      <family val="2"/>
      <charset val="1"/>
    </font>
    <font>
      <i/>
      <sz val="10"/>
      <name val="Arial"/>
      <family val="2"/>
      <charset val="1"/>
    </font>
    <font>
      <b/>
      <sz val="11"/>
      <color rgb="FF000000"/>
      <name val="Arial"/>
      <family val="2"/>
      <charset val="1"/>
    </font>
    <font>
      <sz val="11"/>
      <color rgb="FF000000"/>
      <name val="Arial"/>
      <family val="2"/>
      <charset val="1"/>
    </font>
    <font>
      <sz val="11"/>
      <color rgb="FF0000FF"/>
      <name val="Arial"/>
      <family val="2"/>
      <charset val="1"/>
    </font>
    <font>
      <sz val="11"/>
      <color rgb="FF0000FF"/>
      <name val="Arial"/>
      <family val="2"/>
    </font>
    <font>
      <sz val="11"/>
      <color rgb="FF008000"/>
      <name val="Arial"/>
      <family val="2"/>
      <charset val="1"/>
    </font>
    <font>
      <sz val="10"/>
      <color rgb="FF000000"/>
      <name val="Arial"/>
      <family val="2"/>
      <charset val="1"/>
    </font>
    <font>
      <b/>
      <sz val="11"/>
      <color rgb="FF000000"/>
      <name val="Arial"/>
      <family val="2"/>
    </font>
    <font>
      <sz val="9"/>
      <color rgb="FF000000"/>
      <name val="Arial"/>
      <family val="2"/>
    </font>
    <font>
      <sz val="11"/>
      <color rgb="FF000000"/>
      <name val="Arial"/>
      <family val="2"/>
    </font>
    <font>
      <b/>
      <sz val="9"/>
      <color rgb="FF000000"/>
      <name val="Arial"/>
      <family val="2"/>
    </font>
    <font>
      <sz val="9"/>
      <color rgb="FF000000"/>
      <name val="Arial"/>
      <family val="2"/>
      <charset val="1"/>
    </font>
    <font>
      <u/>
      <sz val="9"/>
      <color rgb="FF0563C1"/>
      <name val="Arial"/>
      <family val="2"/>
    </font>
    <font>
      <b/>
      <sz val="12"/>
      <color rgb="FFFFFFFF"/>
      <name val="Arial"/>
      <family val="2"/>
    </font>
    <font>
      <sz val="10"/>
      <color rgb="FF000000"/>
      <name val="Arial"/>
      <family val="2"/>
    </font>
    <font>
      <sz val="11"/>
      <name val="Arial"/>
      <family val="2"/>
      <charset val="1"/>
    </font>
    <font>
      <sz val="16"/>
      <color theme="1"/>
      <name val="Calibri"/>
      <family val="2"/>
      <charset val="1"/>
    </font>
    <font>
      <sz val="11"/>
      <color rgb="FF000000"/>
      <name val="Calibri"/>
      <family val="2"/>
      <charset val="1"/>
    </font>
  </fonts>
  <fills count="9">
    <fill>
      <patternFill patternType="none"/>
    </fill>
    <fill>
      <patternFill patternType="gray125"/>
    </fill>
    <fill>
      <patternFill patternType="solid">
        <fgColor rgb="FF1F4E78"/>
        <bgColor rgb="FF003366"/>
      </patternFill>
    </fill>
    <fill>
      <patternFill patternType="solid">
        <fgColor rgb="FFD9E1F2"/>
        <bgColor rgb="FFE2EFDA"/>
      </patternFill>
    </fill>
    <fill>
      <patternFill patternType="solid">
        <fgColor rgb="FFFFFF00"/>
        <bgColor rgb="FFFFFF00"/>
      </patternFill>
    </fill>
    <fill>
      <patternFill patternType="solid">
        <fgColor rgb="FFF2F2F2"/>
        <bgColor rgb="FFE2EFDA"/>
      </patternFill>
    </fill>
    <fill>
      <patternFill patternType="solid">
        <fgColor rgb="FFE2EFDA"/>
        <bgColor rgb="FFF2F2F2"/>
      </patternFill>
    </fill>
    <fill>
      <patternFill patternType="solid">
        <fgColor rgb="FFC6E0B4"/>
        <bgColor rgb="FFE2EFDA"/>
      </patternFill>
    </fill>
    <fill>
      <patternFill patternType="solid">
        <fgColor rgb="FFFFC000"/>
        <bgColor rgb="FFFFFF00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9" fontId="1" fillId="0" borderId="0"/>
  </cellStyleXfs>
  <cellXfs count="103">
    <xf numFmtId="0" fontId="0" fillId="0" borderId="0" xfId="0"/>
    <xf numFmtId="0" fontId="4" fillId="3" borderId="0" xfId="0" applyFont="1" applyFill="1"/>
    <xf numFmtId="0" fontId="2" fillId="2" borderId="0" xfId="0" applyFont="1" applyFill="1" applyAlignment="1">
      <alignment horizontal="left" vertical="center"/>
    </xf>
    <xf numFmtId="0" fontId="5" fillId="0" borderId="0" xfId="0" applyFont="1"/>
    <xf numFmtId="164" fontId="6" fillId="0" borderId="0" xfId="0" applyNumberFormat="1" applyFont="1"/>
    <xf numFmtId="165" fontId="6" fillId="0" borderId="0" xfId="0" applyNumberFormat="1" applyFont="1"/>
    <xf numFmtId="166" fontId="7" fillId="4" borderId="0" xfId="0" applyNumberFormat="1" applyFont="1" applyFill="1"/>
    <xf numFmtId="167" fontId="6" fillId="4" borderId="0" xfId="0" applyNumberFormat="1" applyFont="1" applyFill="1"/>
    <xf numFmtId="167" fontId="6" fillId="0" borderId="0" xfId="0" applyNumberFormat="1" applyFont="1"/>
    <xf numFmtId="168" fontId="6" fillId="0" borderId="0" xfId="0" applyNumberFormat="1" applyFont="1"/>
    <xf numFmtId="165" fontId="6" fillId="4" borderId="0" xfId="0" applyNumberFormat="1" applyFont="1" applyFill="1"/>
    <xf numFmtId="169" fontId="8" fillId="0" borderId="0" xfId="0" applyNumberFormat="1" applyFont="1"/>
    <xf numFmtId="169" fontId="6" fillId="4" borderId="0" xfId="0" applyNumberFormat="1" applyFont="1" applyFill="1"/>
    <xf numFmtId="0" fontId="4" fillId="0" borderId="0" xfId="0" applyFont="1"/>
    <xf numFmtId="169" fontId="4" fillId="0" borderId="0" xfId="0" applyNumberFormat="1" applyFont="1"/>
    <xf numFmtId="168" fontId="4" fillId="0" borderId="0" xfId="0" applyNumberFormat="1" applyFont="1"/>
    <xf numFmtId="0" fontId="0" fillId="3" borderId="0" xfId="0" applyFill="1"/>
    <xf numFmtId="164" fontId="6" fillId="4" borderId="0" xfId="0" applyNumberFormat="1" applyFont="1" applyFill="1"/>
    <xf numFmtId="0" fontId="6" fillId="0" borderId="0" xfId="0" applyFont="1"/>
    <xf numFmtId="170" fontId="6" fillId="0" borderId="0" xfId="0" applyNumberFormat="1" applyFont="1"/>
    <xf numFmtId="164" fontId="8" fillId="0" borderId="0" xfId="0" applyNumberFormat="1" applyFont="1"/>
    <xf numFmtId="0" fontId="2" fillId="2" borderId="0" xfId="0" applyFont="1" applyFill="1"/>
    <xf numFmtId="0" fontId="4" fillId="5" borderId="0" xfId="0" applyFont="1" applyFill="1"/>
    <xf numFmtId="171" fontId="5" fillId="0" borderId="0" xfId="0" applyNumberFormat="1" applyFont="1"/>
    <xf numFmtId="168" fontId="5" fillId="0" borderId="0" xfId="0" applyNumberFormat="1" applyFont="1"/>
    <xf numFmtId="172" fontId="8" fillId="0" borderId="0" xfId="0" applyNumberFormat="1" applyFont="1"/>
    <xf numFmtId="171" fontId="8" fillId="0" borderId="0" xfId="0" applyNumberFormat="1" applyFont="1"/>
    <xf numFmtId="168" fontId="8" fillId="0" borderId="0" xfId="0" applyNumberFormat="1" applyFont="1"/>
    <xf numFmtId="1" fontId="6" fillId="0" borderId="0" xfId="0" applyNumberFormat="1" applyFont="1"/>
    <xf numFmtId="168" fontId="2" fillId="2" borderId="0" xfId="0" applyNumberFormat="1" applyFont="1" applyFill="1"/>
    <xf numFmtId="0" fontId="9" fillId="0" borderId="0" xfId="0" applyFont="1"/>
    <xf numFmtId="0" fontId="10" fillId="3" borderId="0" xfId="0" applyFont="1" applyFill="1"/>
    <xf numFmtId="168" fontId="8" fillId="3" borderId="0" xfId="0" applyNumberFormat="1" applyFont="1" applyFill="1"/>
    <xf numFmtId="0" fontId="11" fillId="0" borderId="0" xfId="0" applyFont="1"/>
    <xf numFmtId="0" fontId="12" fillId="0" borderId="0" xfId="0" applyFont="1"/>
    <xf numFmtId="165" fontId="4" fillId="0" borderId="0" xfId="0" applyNumberFormat="1" applyFont="1"/>
    <xf numFmtId="0" fontId="13" fillId="5" borderId="0" xfId="0" applyFont="1" applyFill="1"/>
    <xf numFmtId="168" fontId="13" fillId="5" borderId="0" xfId="0" applyNumberFormat="1" applyFont="1" applyFill="1"/>
    <xf numFmtId="3" fontId="12" fillId="0" borderId="0" xfId="0" applyNumberFormat="1" applyFont="1"/>
    <xf numFmtId="173" fontId="7" fillId="4" borderId="0" xfId="0" applyNumberFormat="1" applyFont="1" applyFill="1"/>
    <xf numFmtId="174" fontId="7" fillId="4" borderId="0" xfId="0" applyNumberFormat="1" applyFont="1" applyFill="1"/>
    <xf numFmtId="3" fontId="7" fillId="4" borderId="0" xfId="0" applyNumberFormat="1" applyFont="1" applyFill="1"/>
    <xf numFmtId="174" fontId="12" fillId="0" borderId="0" xfId="0" applyNumberFormat="1" applyFont="1"/>
    <xf numFmtId="173" fontId="12" fillId="0" borderId="0" xfId="0" applyNumberFormat="1" applyFont="1"/>
    <xf numFmtId="0" fontId="10" fillId="6" borderId="0" xfId="0" applyFont="1" applyFill="1"/>
    <xf numFmtId="3" fontId="10" fillId="6" borderId="0" xfId="0" applyNumberFormat="1" applyFont="1" applyFill="1"/>
    <xf numFmtId="0" fontId="0" fillId="6" borderId="0" xfId="0" applyFill="1"/>
    <xf numFmtId="173" fontId="10" fillId="6" borderId="0" xfId="0" applyNumberFormat="1" applyFont="1" applyFill="1"/>
    <xf numFmtId="164" fontId="4" fillId="0" borderId="0" xfId="0" applyNumberFormat="1" applyFont="1"/>
    <xf numFmtId="164" fontId="5" fillId="0" borderId="0" xfId="0" applyNumberFormat="1" applyFont="1"/>
    <xf numFmtId="167" fontId="5" fillId="0" borderId="0" xfId="0" applyNumberFormat="1" applyFont="1"/>
    <xf numFmtId="169" fontId="5" fillId="0" borderId="0" xfId="0" applyNumberFormat="1" applyFont="1"/>
    <xf numFmtId="165" fontId="5" fillId="0" borderId="0" xfId="0" applyNumberFormat="1" applyFont="1"/>
    <xf numFmtId="175" fontId="6" fillId="4" borderId="0" xfId="0" applyNumberFormat="1" applyFont="1" applyFill="1"/>
    <xf numFmtId="168" fontId="6" fillId="4" borderId="0" xfId="0" applyNumberFormat="1" applyFont="1" applyFill="1"/>
    <xf numFmtId="169" fontId="4" fillId="7" borderId="0" xfId="0" applyNumberFormat="1" applyFont="1" applyFill="1"/>
    <xf numFmtId="176" fontId="6" fillId="0" borderId="0" xfId="0" applyNumberFormat="1" applyFont="1"/>
    <xf numFmtId="0" fontId="14" fillId="0" borderId="0" xfId="0" applyFont="1"/>
    <xf numFmtId="0" fontId="15" fillId="0" borderId="0" xfId="0" applyFont="1"/>
    <xf numFmtId="176" fontId="6" fillId="3" borderId="0" xfId="0" applyNumberFormat="1" applyFont="1" applyFill="1"/>
    <xf numFmtId="0" fontId="6" fillId="7" borderId="0" xfId="0" applyFont="1" applyFill="1"/>
    <xf numFmtId="176" fontId="6" fillId="7" borderId="0" xfId="0" applyNumberFormat="1" applyFont="1" applyFill="1"/>
    <xf numFmtId="0" fontId="16" fillId="2" borderId="0" xfId="0" applyFont="1" applyFill="1" applyAlignment="1">
      <alignment horizontal="left" vertical="center"/>
    </xf>
    <xf numFmtId="0" fontId="17" fillId="0" borderId="0" xfId="0" applyFont="1"/>
    <xf numFmtId="0" fontId="10" fillId="5" borderId="0" xfId="0" applyFont="1" applyFill="1"/>
    <xf numFmtId="176" fontId="7" fillId="0" borderId="0" xfId="0" applyNumberFormat="1" applyFont="1"/>
    <xf numFmtId="0" fontId="10" fillId="0" borderId="0" xfId="0" applyFont="1"/>
    <xf numFmtId="176" fontId="7" fillId="7" borderId="0" xfId="0" applyNumberFormat="1" applyFont="1" applyFill="1"/>
    <xf numFmtId="0" fontId="7" fillId="7" borderId="0" xfId="0" applyFont="1" applyFill="1"/>
    <xf numFmtId="0" fontId="18" fillId="0" borderId="0" xfId="0" applyFont="1"/>
    <xf numFmtId="9" fontId="1" fillId="0" borderId="0" xfId="1"/>
    <xf numFmtId="0" fontId="0" fillId="0" borderId="0" xfId="0" applyAlignment="1">
      <alignment horizontal="right"/>
    </xf>
    <xf numFmtId="0" fontId="19" fillId="0" borderId="0" xfId="0" applyFont="1"/>
    <xf numFmtId="172" fontId="6" fillId="4" borderId="0" xfId="0" applyNumberFormat="1" applyFont="1" applyFill="1"/>
    <xf numFmtId="177" fontId="8" fillId="0" borderId="0" xfId="0" applyNumberFormat="1" applyFont="1"/>
    <xf numFmtId="1" fontId="6" fillId="4" borderId="0" xfId="0" applyNumberFormat="1" applyFont="1" applyFill="1"/>
    <xf numFmtId="177" fontId="5" fillId="0" borderId="0" xfId="0" applyNumberFormat="1" applyFont="1"/>
    <xf numFmtId="166" fontId="1" fillId="0" borderId="0" xfId="1" applyNumberFormat="1"/>
    <xf numFmtId="166" fontId="1" fillId="0" borderId="0" xfId="1" applyNumberFormat="1" applyAlignment="1">
      <alignment horizontal="right"/>
    </xf>
    <xf numFmtId="166" fontId="6" fillId="0" borderId="0" xfId="0" applyNumberFormat="1" applyFont="1"/>
    <xf numFmtId="166" fontId="5" fillId="0" borderId="0" xfId="0" applyNumberFormat="1" applyFont="1"/>
    <xf numFmtId="177" fontId="6" fillId="0" borderId="0" xfId="0" applyNumberFormat="1" applyFont="1"/>
    <xf numFmtId="2" fontId="6" fillId="8" borderId="0" xfId="0" applyNumberFormat="1" applyFont="1" applyFill="1"/>
    <xf numFmtId="168" fontId="18" fillId="0" borderId="0" xfId="0" applyNumberFormat="1" applyFont="1"/>
    <xf numFmtId="1" fontId="6" fillId="8" borderId="0" xfId="0" applyNumberFormat="1" applyFont="1" applyFill="1"/>
    <xf numFmtId="0" fontId="0" fillId="0" borderId="0" xfId="0" applyAlignment="1">
      <alignment horizontal="center"/>
    </xf>
    <xf numFmtId="0" fontId="0" fillId="3" borderId="0" xfId="0" applyFill="1" applyAlignment="1">
      <alignment horizontal="center"/>
    </xf>
    <xf numFmtId="0" fontId="4" fillId="5" borderId="0" xfId="0" applyFont="1" applyFill="1" applyAlignment="1">
      <alignment horizontal="center"/>
    </xf>
    <xf numFmtId="0" fontId="5" fillId="0" borderId="0" xfId="0" applyFont="1" applyAlignment="1">
      <alignment horizontal="center"/>
    </xf>
    <xf numFmtId="0" fontId="4" fillId="0" borderId="0" xfId="0" applyFont="1" applyAlignment="1">
      <alignment horizontal="center"/>
    </xf>
    <xf numFmtId="176" fontId="5" fillId="3" borderId="0" xfId="0" applyNumberFormat="1" applyFont="1" applyFill="1" applyAlignment="1">
      <alignment horizontal="center"/>
    </xf>
    <xf numFmtId="176" fontId="4" fillId="5" borderId="0" xfId="0" applyNumberFormat="1" applyFont="1" applyFill="1" applyAlignment="1">
      <alignment horizontal="center"/>
    </xf>
    <xf numFmtId="176" fontId="5" fillId="0" borderId="0" xfId="0" applyNumberFormat="1" applyFont="1" applyAlignment="1">
      <alignment horizontal="center"/>
    </xf>
    <xf numFmtId="0" fontId="0" fillId="0" borderId="0" xfId="0" applyAlignment="1">
      <alignment horizontal="center" vertical="center"/>
    </xf>
    <xf numFmtId="0" fontId="0" fillId="3" borderId="0" xfId="0" applyFill="1" applyAlignment="1">
      <alignment horizontal="center" vertical="center"/>
    </xf>
    <xf numFmtId="0" fontId="10" fillId="5" borderId="0" xfId="0" applyFont="1" applyFill="1" applyAlignment="1">
      <alignment horizontal="center" vertical="center"/>
    </xf>
    <xf numFmtId="0" fontId="12" fillId="0" borderId="0" xfId="0" applyFont="1" applyAlignment="1">
      <alignment horizontal="center" vertical="center"/>
    </xf>
    <xf numFmtId="0" fontId="5" fillId="0" borderId="0" xfId="0" applyFont="1" applyAlignment="1">
      <alignment horizontal="center" vertical="center"/>
    </xf>
    <xf numFmtId="176" fontId="12" fillId="0" borderId="0" xfId="0" applyNumberFormat="1" applyFont="1" applyAlignment="1">
      <alignment horizontal="center" vertical="center"/>
    </xf>
    <xf numFmtId="0" fontId="2" fillId="2" borderId="0" xfId="0" applyFont="1" applyFill="1" applyAlignment="1">
      <alignment horizontal="left" vertical="center"/>
    </xf>
    <xf numFmtId="0" fontId="0" fillId="0" borderId="0" xfId="0"/>
    <xf numFmtId="0" fontId="3" fillId="0" borderId="0" xfId="0" applyFont="1"/>
    <xf numFmtId="0" fontId="4" fillId="3" borderId="0" xfId="0" applyFont="1" applyFill="1"/>
  </cellXfs>
  <cellStyles count="2">
    <cellStyle name="Normal" xfId="0" builtinId="0"/>
    <cellStyle name="Percent" xfId="1" builtinId="5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6E0B4"/>
      <rgbColor rgb="FF808080"/>
      <rgbColor rgb="FF9999FF"/>
      <rgbColor rgb="FF993366"/>
      <rgbColor rgb="FFF2F2F2"/>
      <rgbColor rgb="FFCCFFFF"/>
      <rgbColor rgb="FF660066"/>
      <rgbColor rgb="FFFF8080"/>
      <rgbColor rgb="FF0563C1"/>
      <rgbColor rgb="FFD9E1F2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E2EFDA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1F4E78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microsoft.com/office/2017/10/relationships/person" Target="persons/perso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17" Type="http://schemas.openxmlformats.org/officeDocument/2006/relationships/customXml" Target="../customXml/item3.xml"/><Relationship Id="rId2" Type="http://schemas.openxmlformats.org/officeDocument/2006/relationships/worksheet" Target="worksheets/sheet2.xml"/><Relationship Id="rId16" Type="http://schemas.openxmlformats.org/officeDocument/2006/relationships/customXml" Target="../customXml/item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5" Type="http://schemas.openxmlformats.org/officeDocument/2006/relationships/customXml" Target="../customXml/item1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calcChain" Target="calcChain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2028344</xdr:colOff>
      <xdr:row>43</xdr:row>
      <xdr:rowOff>113401</xdr:rowOff>
    </xdr:from>
    <xdr:to>
      <xdr:col>6</xdr:col>
      <xdr:colOff>731864</xdr:colOff>
      <xdr:row>66</xdr:row>
      <xdr:rowOff>9137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028344" y="6061387"/>
          <a:ext cx="7519307" cy="4308757"/>
        </a:xfrm>
        <a:prstGeom prst="rect">
          <a:avLst/>
        </a:prstGeom>
        <a:noFill/>
        <a:ln>
          <a:prstDash val="solid"/>
        </a:ln>
      </xdr:spPr>
    </xdr:pic>
    <xdr:clientData/>
  </xdr:twoCellAnchor>
</xdr:wsDr>
</file>

<file path=xl/persons/person.xml><?xml version="1.0" encoding="utf-8"?>
<personList xmlns="http://schemas.microsoft.com/office/spreadsheetml/2018/threadedcomments" xmlns:x="http://schemas.openxmlformats.org/spreadsheetml/2006/main">
  <person displayName="Jan Hoffmann" id="{5AD1B109-E938-3544-8D17-AF1C5A03E676}" userId="Jan Hoffmann" providerId="None"/>
</personList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B26" dT="2026-06-15T14:44:22.05" personId="{5AD1B109-E938-3544-8D17-AF1C5A03E676}" id="{9F38497B-FD8C-134F-B11C-257B236621CE}">
    <text>this should be a one time thing to get people hooked. 10 min lenght but only one session per year</text>
  </threadedComment>
</ThreadedComments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vmlDrawing" Target="../drawings/vmlDrawing2.vml"/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3" Type="http://schemas.microsoft.com/office/2017/10/relationships/threadedComment" Target="../threadedComments/threadedComment1.xml"/><Relationship Id="rId2" Type="http://schemas.openxmlformats.org/officeDocument/2006/relationships/comments" Target="../comments3.xml"/><Relationship Id="rId1" Type="http://schemas.openxmlformats.org/officeDocument/2006/relationships/vmlDrawing" Target="../drawings/vmlDrawing3.vml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hyperlink" Target="https://www.tavus.io/pricing" TargetMode="External"/><Relationship Id="rId2" Type="http://schemas.openxmlformats.org/officeDocument/2006/relationships/hyperlink" Target="https://www.heygen.com/pricing" TargetMode="External"/><Relationship Id="rId1" Type="http://schemas.openxmlformats.org/officeDocument/2006/relationships/hyperlink" Target="https://www.simli.com/pricing" TargetMode="External"/><Relationship Id="rId5" Type="http://schemas.openxmlformats.org/officeDocument/2006/relationships/comments" Target="../comments4.xml"/><Relationship Id="rId4" Type="http://schemas.openxmlformats.org/officeDocument/2006/relationships/vmlDrawing" Target="../drawings/vmlDrawing4.vml"/></Relationships>
</file>

<file path=xl/worksheets/_rels/sheet6.xml.rels><?xml version="1.0" encoding="UTF-8" standalone="yes"?>
<Relationships xmlns="http://schemas.openxmlformats.org/package/2006/relationships"><Relationship Id="rId3" Type="http://schemas.openxmlformats.org/officeDocument/2006/relationships/hyperlink" Target="https://deepgram.com/pricing" TargetMode="External"/><Relationship Id="rId7" Type="http://schemas.openxmlformats.org/officeDocument/2006/relationships/comments" Target="../comments5.xml"/><Relationship Id="rId2" Type="http://schemas.openxmlformats.org/officeDocument/2006/relationships/hyperlink" Target="https://deepgram.com/pricing" TargetMode="External"/><Relationship Id="rId1" Type="http://schemas.openxmlformats.org/officeDocument/2006/relationships/hyperlink" Target="https://azure.microsoft.com/en-us/pricing/details/speech/" TargetMode="External"/><Relationship Id="rId6" Type="http://schemas.openxmlformats.org/officeDocument/2006/relationships/vmlDrawing" Target="../drawings/vmlDrawing5.vml"/><Relationship Id="rId5" Type="http://schemas.openxmlformats.org/officeDocument/2006/relationships/hyperlink" Target="https://elevenlabs.io/pricing" TargetMode="External"/><Relationship Id="rId4" Type="http://schemas.openxmlformats.org/officeDocument/2006/relationships/hyperlink" Target="https://elevenlabs.io/pricing" TargetMode="External"/></Relationships>
</file>

<file path=xl/worksheets/_rels/sheet7.xml.rels><?xml version="1.0" encoding="UTF-8" standalone="yes"?>
<Relationships xmlns="http://schemas.openxmlformats.org/package/2006/relationships"><Relationship Id="rId3" Type="http://schemas.openxmlformats.org/officeDocument/2006/relationships/hyperlink" Target="https://www.speechace.com/" TargetMode="External"/><Relationship Id="rId2" Type="http://schemas.openxmlformats.org/officeDocument/2006/relationships/hyperlink" Target="https://azure.microsoft.com/en-us/pricing/details/speech/" TargetMode="External"/><Relationship Id="rId1" Type="http://schemas.openxmlformats.org/officeDocument/2006/relationships/hyperlink" Target="https://azure.microsoft.com/en-us/pricing/details/speech/" TargetMode="External"/><Relationship Id="rId5" Type="http://schemas.openxmlformats.org/officeDocument/2006/relationships/comments" Target="../comments6.xml"/><Relationship Id="rId4" Type="http://schemas.openxmlformats.org/officeDocument/2006/relationships/vmlDrawing" Target="../drawings/vmlDrawing6.vml"/></Relationships>
</file>

<file path=xl/worksheets/_rels/sheet8.xml.rels><?xml version="1.0" encoding="UTF-8" standalone="yes"?>
<Relationships xmlns="http://schemas.openxmlformats.org/package/2006/relationships"><Relationship Id="rId3" Type="http://schemas.openxmlformats.org/officeDocument/2006/relationships/hyperlink" Target="https://claude.com/pricing" TargetMode="External"/><Relationship Id="rId2" Type="http://schemas.openxmlformats.org/officeDocument/2006/relationships/hyperlink" Target="https://claude.com/pricing" TargetMode="External"/><Relationship Id="rId1" Type="http://schemas.openxmlformats.org/officeDocument/2006/relationships/hyperlink" Target="https://claude.com/pricing" TargetMode="External"/><Relationship Id="rId5" Type="http://schemas.openxmlformats.org/officeDocument/2006/relationships/comments" Target="../comments7.xml"/><Relationship Id="rId4" Type="http://schemas.openxmlformats.org/officeDocument/2006/relationships/vmlDrawing" Target="../drawings/vmlDrawing7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41"/>
  <sheetViews>
    <sheetView zoomScaleNormal="100" workbookViewId="0">
      <selection activeCell="D25" sqref="D25"/>
    </sheetView>
  </sheetViews>
  <sheetFormatPr baseColWidth="10" defaultColWidth="8.6640625" defaultRowHeight="15" x14ac:dyDescent="0.2"/>
  <cols>
    <col min="1" max="1" width="45" customWidth="1"/>
    <col min="2" max="3" width="14" customWidth="1"/>
    <col min="4" max="4" width="45" customWidth="1"/>
  </cols>
  <sheetData>
    <row r="1" spans="1:4" ht="15" customHeight="1" x14ac:dyDescent="0.2">
      <c r="A1" s="99" t="s">
        <v>0</v>
      </c>
      <c r="B1" s="100"/>
      <c r="C1" s="100"/>
      <c r="D1" s="100"/>
    </row>
    <row r="2" spans="1:4" ht="15" customHeight="1" x14ac:dyDescent="0.2">
      <c r="A2" s="101" t="s">
        <v>1</v>
      </c>
      <c r="B2" s="100"/>
      <c r="C2" s="100"/>
      <c r="D2" s="100"/>
    </row>
    <row r="4" spans="1:4" ht="15" customHeight="1" x14ac:dyDescent="0.2">
      <c r="A4" s="1" t="s">
        <v>2</v>
      </c>
    </row>
    <row r="5" spans="1:4" ht="15" customHeight="1" x14ac:dyDescent="0.2">
      <c r="A5" s="3" t="s">
        <v>3</v>
      </c>
      <c r="B5" s="4">
        <v>30</v>
      </c>
    </row>
    <row r="6" spans="1:4" ht="15" customHeight="1" x14ac:dyDescent="0.2">
      <c r="A6" s="3" t="s">
        <v>4</v>
      </c>
      <c r="B6" s="5">
        <v>0.15</v>
      </c>
    </row>
    <row r="7" spans="1:4" ht="15" customHeight="1" x14ac:dyDescent="0.2">
      <c r="A7" s="3" t="s">
        <v>5</v>
      </c>
      <c r="B7" s="5">
        <v>0.05</v>
      </c>
    </row>
    <row r="8" spans="1:4" ht="15" customHeight="1" x14ac:dyDescent="0.2">
      <c r="A8" s="3" t="s">
        <v>6</v>
      </c>
      <c r="B8" s="5">
        <v>0.3</v>
      </c>
    </row>
    <row r="9" spans="1:4" ht="15" customHeight="1" x14ac:dyDescent="0.2">
      <c r="A9" s="3" t="s">
        <v>7</v>
      </c>
      <c r="B9" s="4">
        <v>10</v>
      </c>
    </row>
    <row r="10" spans="1:4" ht="15" customHeight="1" x14ac:dyDescent="0.2">
      <c r="A10" t="s">
        <v>8</v>
      </c>
      <c r="B10" s="6">
        <v>1</v>
      </c>
    </row>
    <row r="11" spans="1:4" ht="15" customHeight="1" x14ac:dyDescent="0.2">
      <c r="A11" s="1" t="s">
        <v>9</v>
      </c>
    </row>
    <row r="12" spans="1:4" ht="15" customHeight="1" x14ac:dyDescent="0.2">
      <c r="A12" s="3" t="s">
        <v>10</v>
      </c>
      <c r="B12" s="7">
        <v>0</v>
      </c>
    </row>
    <row r="13" spans="1:4" ht="15" customHeight="1" x14ac:dyDescent="0.2">
      <c r="A13" s="3" t="s">
        <v>11</v>
      </c>
      <c r="B13" s="7">
        <v>19</v>
      </c>
    </row>
    <row r="14" spans="1:4" ht="15" customHeight="1" x14ac:dyDescent="0.2">
      <c r="A14" s="3" t="s">
        <v>12</v>
      </c>
      <c r="B14" s="8">
        <v>49</v>
      </c>
    </row>
    <row r="15" spans="1:4" ht="15" customHeight="1" x14ac:dyDescent="0.2">
      <c r="A15" s="3" t="s">
        <v>13</v>
      </c>
      <c r="B15" s="8">
        <v>100</v>
      </c>
    </row>
    <row r="16" spans="1:4" ht="15" customHeight="1" x14ac:dyDescent="0.2">
      <c r="A16" s="3" t="s">
        <v>14</v>
      </c>
      <c r="B16" s="5">
        <v>2.5000000000000001E-2</v>
      </c>
    </row>
    <row r="17" spans="1:2" ht="15" customHeight="1" x14ac:dyDescent="0.2">
      <c r="A17" s="3" t="s">
        <v>15</v>
      </c>
      <c r="B17" s="8">
        <v>39</v>
      </c>
    </row>
    <row r="18" spans="1:2" ht="15" customHeight="1" x14ac:dyDescent="0.2">
      <c r="A18" s="1" t="s">
        <v>16</v>
      </c>
    </row>
    <row r="19" spans="1:2" ht="15" customHeight="1" x14ac:dyDescent="0.2">
      <c r="A19" s="3" t="s">
        <v>17</v>
      </c>
      <c r="B19" s="9">
        <v>10</v>
      </c>
    </row>
    <row r="20" spans="1:2" ht="15" customHeight="1" x14ac:dyDescent="0.2">
      <c r="A20" s="3" t="s">
        <v>18</v>
      </c>
      <c r="B20" s="9">
        <v>5.8</v>
      </c>
    </row>
    <row r="21" spans="1:2" ht="15" customHeight="1" x14ac:dyDescent="0.2">
      <c r="A21" s="3" t="s">
        <v>19</v>
      </c>
      <c r="B21" s="10">
        <v>0.1</v>
      </c>
    </row>
    <row r="22" spans="1:2" ht="15" customHeight="1" x14ac:dyDescent="0.2">
      <c r="A22" s="3" t="s">
        <v>20</v>
      </c>
      <c r="B22" s="10">
        <v>0.5</v>
      </c>
    </row>
    <row r="23" spans="1:2" ht="15" customHeight="1" x14ac:dyDescent="0.2"/>
    <row r="24" spans="1:2" ht="15" customHeight="1" x14ac:dyDescent="0.2">
      <c r="A24" s="1" t="s">
        <v>21</v>
      </c>
    </row>
    <row r="25" spans="1:2" ht="15" customHeight="1" x14ac:dyDescent="0.2">
      <c r="A25" s="3" t="s">
        <v>22</v>
      </c>
      <c r="B25" s="11">
        <f>'Content Generation'!B34</f>
        <v>557329.92000000004</v>
      </c>
    </row>
    <row r="26" spans="1:2" ht="15" customHeight="1" x14ac:dyDescent="0.2">
      <c r="A26" s="3" t="s">
        <v>23</v>
      </c>
      <c r="B26" s="12">
        <v>600000</v>
      </c>
    </row>
    <row r="27" spans="1:2" ht="15" customHeight="1" x14ac:dyDescent="0.2">
      <c r="A27" s="3" t="s">
        <v>24</v>
      </c>
      <c r="B27" s="12">
        <v>400000</v>
      </c>
    </row>
    <row r="28" spans="1:2" ht="15" customHeight="1" x14ac:dyDescent="0.2">
      <c r="A28" s="3" t="s">
        <v>25</v>
      </c>
      <c r="B28" s="12">
        <v>250000</v>
      </c>
    </row>
    <row r="29" spans="1:2" ht="15" customHeight="1" x14ac:dyDescent="0.2">
      <c r="A29" s="13" t="s">
        <v>26</v>
      </c>
      <c r="B29" s="14">
        <f>SUM(B25:B28)</f>
        <v>1807329.92</v>
      </c>
    </row>
    <row r="30" spans="1:2" ht="15" customHeight="1" x14ac:dyDescent="0.2">
      <c r="A30" s="13" t="s">
        <v>27</v>
      </c>
      <c r="B30" s="15">
        <f>Assumptions!$B$29/Assumptions!$B$41</f>
        <v>7.0709308294209697E-2</v>
      </c>
    </row>
    <row r="31" spans="1:2" ht="15" customHeight="1" x14ac:dyDescent="0.2"/>
    <row r="32" spans="1:2" ht="15" customHeight="1" x14ac:dyDescent="0.2">
      <c r="A32" s="1" t="s">
        <v>28</v>
      </c>
      <c r="B32" s="16"/>
    </row>
    <row r="33" spans="1:4" ht="15" customHeight="1" x14ac:dyDescent="0.2">
      <c r="A33" s="3" t="s">
        <v>29</v>
      </c>
      <c r="B33" s="17">
        <v>2</v>
      </c>
    </row>
    <row r="34" spans="1:4" ht="15" customHeight="1" x14ac:dyDescent="0.2">
      <c r="A34" s="3" t="s">
        <v>30</v>
      </c>
      <c r="B34" s="17">
        <v>6</v>
      </c>
    </row>
    <row r="35" spans="1:4" ht="15" customHeight="1" x14ac:dyDescent="0.2">
      <c r="A35" s="3" t="s">
        <v>31</v>
      </c>
      <c r="B35" s="17">
        <v>999</v>
      </c>
    </row>
    <row r="36" spans="1:4" ht="15" customHeight="1" x14ac:dyDescent="0.2">
      <c r="A36" s="3" t="s">
        <v>32</v>
      </c>
      <c r="B36" s="17">
        <v>1999</v>
      </c>
    </row>
    <row r="37" spans="1:4" ht="15" customHeight="1" x14ac:dyDescent="0.2">
      <c r="A37" s="3" t="s">
        <v>33</v>
      </c>
      <c r="B37" s="18" t="s">
        <v>34</v>
      </c>
    </row>
    <row r="39" spans="1:4" ht="15" customHeight="1" x14ac:dyDescent="0.2">
      <c r="A39" s="102" t="s">
        <v>35</v>
      </c>
      <c r="B39" s="100"/>
      <c r="C39" s="100"/>
      <c r="D39" s="100"/>
    </row>
    <row r="40" spans="1:4" ht="15" customHeight="1" x14ac:dyDescent="0.2">
      <c r="A40" s="3" t="s">
        <v>36</v>
      </c>
      <c r="B40" s="19">
        <v>0.92</v>
      </c>
    </row>
    <row r="41" spans="1:4" ht="15" customHeight="1" x14ac:dyDescent="0.2">
      <c r="A41" s="3" t="s">
        <v>37</v>
      </c>
      <c r="B41" s="20">
        <f>'User &amp; Revenue Model'!H27+'User &amp; Revenue Model'!H28</f>
        <v>25560000</v>
      </c>
    </row>
  </sheetData>
  <mergeCells count="3">
    <mergeCell ref="A1:D1"/>
    <mergeCell ref="A2:D2"/>
    <mergeCell ref="A39:D39"/>
  </mergeCells>
  <pageMargins left="0.75" right="0.75" top="1" bottom="1" header="0.511811023622047" footer="0.511811023622047"/>
  <pageSetup paperSize="9" orientation="portrait" horizontalDpi="300" verticalDpi="300"/>
  <legacy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W41"/>
  <sheetViews>
    <sheetView topLeftCell="A3" zoomScale="139" zoomScaleNormal="139" workbookViewId="0">
      <selection activeCell="C18" sqref="C18"/>
    </sheetView>
  </sheetViews>
  <sheetFormatPr baseColWidth="10" defaultColWidth="8.6640625" defaultRowHeight="15" x14ac:dyDescent="0.2"/>
  <cols>
    <col min="1" max="1" width="32" customWidth="1"/>
    <col min="2" max="2" width="22" customWidth="1"/>
    <col min="3" max="3" width="14" customWidth="1"/>
    <col min="4" max="7" width="11" bestFit="1" customWidth="1"/>
    <col min="8" max="23" width="11" customWidth="1"/>
  </cols>
  <sheetData>
    <row r="1" spans="1:23" ht="15" customHeight="1" x14ac:dyDescent="0.2">
      <c r="A1" s="99" t="s">
        <v>38</v>
      </c>
      <c r="B1" s="100"/>
      <c r="C1" s="100"/>
      <c r="D1" s="100"/>
      <c r="E1" s="100"/>
      <c r="F1" s="100"/>
      <c r="G1" s="100"/>
      <c r="H1" s="100"/>
      <c r="I1" s="100"/>
    </row>
    <row r="2" spans="1:23" ht="15" customHeight="1" x14ac:dyDescent="0.2">
      <c r="A2" s="101" t="s">
        <v>39</v>
      </c>
      <c r="B2" s="100"/>
      <c r="C2" s="100"/>
      <c r="D2" s="100"/>
      <c r="E2" s="100"/>
      <c r="F2" s="100"/>
      <c r="G2" s="100"/>
      <c r="H2" s="100"/>
      <c r="I2" s="100"/>
    </row>
    <row r="4" spans="1:23" ht="21" customHeight="1" x14ac:dyDescent="0.25">
      <c r="A4" s="72" t="s">
        <v>40</v>
      </c>
    </row>
    <row r="5" spans="1:23" ht="15" customHeight="1" x14ac:dyDescent="0.2">
      <c r="A5" s="21" t="s">
        <v>41</v>
      </c>
      <c r="B5" s="21" t="s">
        <v>42</v>
      </c>
      <c r="C5" s="21" t="s">
        <v>43</v>
      </c>
      <c r="D5" s="21" t="s">
        <v>44</v>
      </c>
      <c r="E5" s="21" t="s">
        <v>45</v>
      </c>
      <c r="F5" s="21" t="s">
        <v>46</v>
      </c>
      <c r="G5" s="21" t="s">
        <v>47</v>
      </c>
      <c r="H5" s="21" t="s">
        <v>48</v>
      </c>
      <c r="I5" s="21" t="s">
        <v>49</v>
      </c>
      <c r="J5" s="21"/>
      <c r="K5" s="21" t="s">
        <v>50</v>
      </c>
      <c r="L5" s="21" t="s">
        <v>51</v>
      </c>
      <c r="M5" s="21" t="s">
        <v>52</v>
      </c>
      <c r="N5" s="21" t="s">
        <v>53</v>
      </c>
      <c r="O5" s="21" t="s">
        <v>54</v>
      </c>
      <c r="P5" s="21" t="s">
        <v>55</v>
      </c>
      <c r="Q5" s="22"/>
      <c r="R5" s="22" t="s">
        <v>56</v>
      </c>
      <c r="S5" s="22" t="s">
        <v>57</v>
      </c>
      <c r="T5" s="22" t="s">
        <v>58</v>
      </c>
      <c r="U5" s="22" t="s">
        <v>59</v>
      </c>
      <c r="V5" s="22" t="s">
        <v>60</v>
      </c>
      <c r="W5" s="22" t="s">
        <v>61</v>
      </c>
    </row>
    <row r="6" spans="1:23" ht="15" customHeight="1" x14ac:dyDescent="0.2">
      <c r="A6" t="s">
        <v>62</v>
      </c>
      <c r="B6" t="s">
        <v>63</v>
      </c>
      <c r="C6" s="23">
        <f t="shared" ref="C6:C11" si="0">S6</f>
        <v>0</v>
      </c>
      <c r="D6" s="25">
        <f>1</f>
        <v>1</v>
      </c>
      <c r="E6" s="25">
        <f>1</f>
        <v>1</v>
      </c>
      <c r="F6" s="25">
        <f>1</f>
        <v>1</v>
      </c>
      <c r="G6" s="25">
        <f>1</f>
        <v>1</v>
      </c>
      <c r="H6" s="25">
        <f>1</f>
        <v>1</v>
      </c>
      <c r="I6" s="25">
        <f>1</f>
        <v>1</v>
      </c>
      <c r="J6" s="24"/>
      <c r="K6" s="24">
        <f t="shared" ref="K6:P11" si="1">R6*D6</f>
        <v>0</v>
      </c>
      <c r="L6" s="24">
        <f t="shared" si="1"/>
        <v>0</v>
      </c>
      <c r="M6" s="24">
        <f t="shared" si="1"/>
        <v>0</v>
      </c>
      <c r="N6" s="24">
        <f t="shared" si="1"/>
        <v>0</v>
      </c>
      <c r="O6" s="24">
        <f t="shared" si="1"/>
        <v>0</v>
      </c>
      <c r="P6" s="24">
        <f t="shared" si="1"/>
        <v>0</v>
      </c>
      <c r="Q6" s="23"/>
      <c r="R6" s="26">
        <v>0</v>
      </c>
      <c r="S6" s="26">
        <v>0</v>
      </c>
      <c r="T6" s="26">
        <v>0</v>
      </c>
      <c r="U6" s="26">
        <v>0</v>
      </c>
      <c r="V6" s="26">
        <v>0</v>
      </c>
      <c r="W6" s="26">
        <v>0</v>
      </c>
    </row>
    <row r="7" spans="1:23" ht="15" customHeight="1" x14ac:dyDescent="0.2">
      <c r="A7" t="s">
        <v>64</v>
      </c>
      <c r="B7" t="s">
        <v>65</v>
      </c>
      <c r="C7" s="23">
        <f t="shared" si="0"/>
        <v>5.5200000000000006E-3</v>
      </c>
      <c r="D7" s="73">
        <v>5</v>
      </c>
      <c r="E7" s="25">
        <f>Assumptions!$B$9</f>
        <v>10</v>
      </c>
      <c r="F7" s="25">
        <f>Assumptions!$B$9</f>
        <v>10</v>
      </c>
      <c r="G7" s="25">
        <f>Assumptions!$B$9</f>
        <v>10</v>
      </c>
      <c r="H7" s="25">
        <f>Assumptions!$B$9</f>
        <v>10</v>
      </c>
      <c r="I7" s="25">
        <f>Assumptions!$B$9</f>
        <v>10</v>
      </c>
      <c r="J7" s="24"/>
      <c r="K7" s="24">
        <f t="shared" si="1"/>
        <v>9.1999999999999998E-3</v>
      </c>
      <c r="L7" s="24">
        <f t="shared" si="1"/>
        <v>5.5200000000000006E-2</v>
      </c>
      <c r="M7" s="24">
        <f t="shared" si="1"/>
        <v>5.5200000000000006E-2</v>
      </c>
      <c r="N7" s="24">
        <f t="shared" si="1"/>
        <v>5.5200000000000006E-2</v>
      </c>
      <c r="O7" s="24">
        <f t="shared" si="1"/>
        <v>5.5200000000000006E-2</v>
      </c>
      <c r="P7" s="24">
        <f t="shared" si="1"/>
        <v>5.5200000000000006E-2</v>
      </c>
      <c r="Q7" s="26"/>
      <c r="R7" s="26">
        <f>'Tool — LLM'!$C$14*Assumptions!$B$40</f>
        <v>1.8400000000000001E-3</v>
      </c>
      <c r="S7" s="26">
        <f>'Tool — LLM'!$C$15*Assumptions!$B$40</f>
        <v>5.5200000000000006E-3</v>
      </c>
      <c r="T7" s="26">
        <f>'Tool — LLM'!$C$16*Assumptions!$B$40</f>
        <v>5.5200000000000006E-3</v>
      </c>
      <c r="U7" s="26">
        <f>'Tool — LLM'!$C$17*Assumptions!$B$40</f>
        <v>5.5200000000000006E-3</v>
      </c>
      <c r="V7" s="26">
        <f>'Tool — LLM'!$C$18*Assumptions!$B$40</f>
        <v>5.5200000000000006E-3</v>
      </c>
      <c r="W7" s="26">
        <f>'Tool — LLM'!$C$19*Assumptions!$B$40</f>
        <v>5.5200000000000006E-3</v>
      </c>
    </row>
    <row r="8" spans="1:23" ht="15" customHeight="1" x14ac:dyDescent="0.2">
      <c r="A8" t="s">
        <v>66</v>
      </c>
      <c r="B8" t="s">
        <v>67</v>
      </c>
      <c r="C8" s="23">
        <f t="shared" si="0"/>
        <v>3.8639999999999998E-3</v>
      </c>
      <c r="D8" s="25">
        <f>Assumptions!$B$6*Assumptions!$B$5</f>
        <v>4.5</v>
      </c>
      <c r="E8" s="25">
        <f>Assumptions!$B$6*Assumptions!$B$5</f>
        <v>4.5</v>
      </c>
      <c r="F8" s="25">
        <f>Assumptions!$B$6*Assumptions!$B$5</f>
        <v>4.5</v>
      </c>
      <c r="G8" s="25">
        <f>Assumptions!$B$6*Assumptions!$B$5</f>
        <v>4.5</v>
      </c>
      <c r="H8" s="25">
        <f>Assumptions!$B$6*Assumptions!$B$5</f>
        <v>4.5</v>
      </c>
      <c r="I8" s="25">
        <f>Assumptions!$B$6*Assumptions!$B$5</f>
        <v>4.5</v>
      </c>
      <c r="J8" s="24"/>
      <c r="K8" s="24">
        <f t="shared" si="1"/>
        <v>1.7388000000000001E-2</v>
      </c>
      <c r="L8" s="24">
        <f t="shared" si="1"/>
        <v>1.7388000000000001E-2</v>
      </c>
      <c r="M8" s="24">
        <f t="shared" si="1"/>
        <v>1.7388000000000001E-2</v>
      </c>
      <c r="N8" s="24">
        <f t="shared" si="1"/>
        <v>1.7388000000000001E-2</v>
      </c>
      <c r="O8" s="24">
        <f t="shared" si="1"/>
        <v>1.7388000000000001E-2</v>
      </c>
      <c r="P8" s="24">
        <f t="shared" si="1"/>
        <v>1.7388000000000001E-2</v>
      </c>
      <c r="Q8" s="26"/>
      <c r="R8" s="26">
        <f>'Tool — Voice AI'!$C$14*Assumptions!$B$40</f>
        <v>3.8639999999999998E-3</v>
      </c>
      <c r="S8" s="26">
        <f>'Tool — Voice AI'!$C$15*Assumptions!$B$40</f>
        <v>3.8639999999999998E-3</v>
      </c>
      <c r="T8" s="26">
        <f>'Tool — Voice AI'!$C$16*Assumptions!$B$40</f>
        <v>3.8639999999999998E-3</v>
      </c>
      <c r="U8" s="26">
        <f>'Tool — Voice AI'!$C$17*Assumptions!$B$40</f>
        <v>3.8639999999999998E-3</v>
      </c>
      <c r="V8" s="26">
        <f>'Tool — Voice AI'!$C$18*Assumptions!$B$40</f>
        <v>3.8639999999999998E-3</v>
      </c>
      <c r="W8" s="26">
        <f>'Tool — Voice AI'!$C$19*Assumptions!$B$40</f>
        <v>3.8639999999999998E-3</v>
      </c>
    </row>
    <row r="9" spans="1:23" ht="15" customHeight="1" x14ac:dyDescent="0.2">
      <c r="A9" t="s">
        <v>68</v>
      </c>
      <c r="B9" t="s">
        <v>69</v>
      </c>
      <c r="C9" s="23">
        <f t="shared" si="0"/>
        <v>4.5999999999999999E-3</v>
      </c>
      <c r="D9" s="25">
        <f>Assumptions!$B$10*D8</f>
        <v>4.5</v>
      </c>
      <c r="E9" s="25">
        <f>Assumptions!$B$10*E8</f>
        <v>4.5</v>
      </c>
      <c r="F9" s="25">
        <f>Assumptions!$B$10*F8</f>
        <v>4.5</v>
      </c>
      <c r="G9" s="25">
        <f>Assumptions!$B$10*G8</f>
        <v>4.5</v>
      </c>
      <c r="H9" s="25">
        <f>Assumptions!$B$10*H8</f>
        <v>4.5</v>
      </c>
      <c r="I9" s="25">
        <f>Assumptions!$B$10*I8</f>
        <v>4.5</v>
      </c>
      <c r="J9" s="24"/>
      <c r="K9" s="24">
        <f t="shared" si="1"/>
        <v>2.07E-2</v>
      </c>
      <c r="L9" s="24">
        <f t="shared" si="1"/>
        <v>2.07E-2</v>
      </c>
      <c r="M9" s="24">
        <f t="shared" si="1"/>
        <v>2.07E-2</v>
      </c>
      <c r="N9" s="24">
        <f t="shared" si="1"/>
        <v>2.07E-2</v>
      </c>
      <c r="O9" s="24">
        <f t="shared" si="1"/>
        <v>2.07E-2</v>
      </c>
      <c r="P9" s="24">
        <f t="shared" si="1"/>
        <v>2.07E-2</v>
      </c>
      <c r="Q9" s="26"/>
      <c r="R9" s="26">
        <f>'Tool — Pronunciation'!$C$13*Assumptions!$B$40</f>
        <v>4.5999999999999999E-3</v>
      </c>
      <c r="S9" s="26">
        <f>'Tool — Pronunciation'!$C$14*Assumptions!$B$40</f>
        <v>4.5999999999999999E-3</v>
      </c>
      <c r="T9" s="26">
        <f>'Tool — Pronunciation'!$C$15*Assumptions!$B$40</f>
        <v>4.5999999999999999E-3</v>
      </c>
      <c r="U9" s="26">
        <f>'Tool — Pronunciation'!$C$16*Assumptions!$B$40</f>
        <v>4.5999999999999999E-3</v>
      </c>
      <c r="V9" s="26">
        <f>'Tool — Pronunciation'!$C$17*Assumptions!$B$40</f>
        <v>4.5999999999999999E-3</v>
      </c>
      <c r="W9" s="26">
        <f>'Tool — Pronunciation'!$C$18*Assumptions!$B$40</f>
        <v>4.5999999999999999E-3</v>
      </c>
    </row>
    <row r="10" spans="1:23" ht="15" customHeight="1" x14ac:dyDescent="0.2">
      <c r="A10" t="s">
        <v>70</v>
      </c>
      <c r="B10" t="s">
        <v>67</v>
      </c>
      <c r="C10" s="23">
        <f t="shared" si="0"/>
        <v>6.2100000000000002E-3</v>
      </c>
      <c r="D10" s="73">
        <v>1.5</v>
      </c>
      <c r="E10" s="73">
        <v>4.5</v>
      </c>
      <c r="F10" s="73">
        <v>4.5</v>
      </c>
      <c r="G10" s="73">
        <v>4.5</v>
      </c>
      <c r="H10" s="73">
        <v>4.5</v>
      </c>
      <c r="I10" s="73">
        <v>4.5</v>
      </c>
      <c r="J10" s="24"/>
      <c r="K10" s="24">
        <f t="shared" si="1"/>
        <v>9.3150000000000004E-3</v>
      </c>
      <c r="L10" s="24">
        <f t="shared" si="1"/>
        <v>2.7945000000000001E-2</v>
      </c>
      <c r="M10" s="24">
        <f t="shared" si="1"/>
        <v>2.7945000000000001E-2</v>
      </c>
      <c r="N10" s="24">
        <f t="shared" si="1"/>
        <v>2.7945000000000001E-2</v>
      </c>
      <c r="O10" s="24">
        <f t="shared" si="1"/>
        <v>2.7945000000000001E-2</v>
      </c>
      <c r="P10" s="24">
        <f t="shared" si="1"/>
        <v>2.7945000000000001E-2</v>
      </c>
      <c r="Q10" s="26"/>
      <c r="R10" s="26">
        <f>'Tool — Voice AI'!$C$30*Assumptions!$B$40</f>
        <v>6.2100000000000002E-3</v>
      </c>
      <c r="S10" s="26">
        <f>'Tool — Voice AI'!$C$31*Assumptions!$B$40</f>
        <v>6.2100000000000002E-3</v>
      </c>
      <c r="T10" s="26">
        <f>'Tool — Voice AI'!$C$32*Assumptions!$B$40</f>
        <v>6.2100000000000002E-3</v>
      </c>
      <c r="U10" s="26">
        <f>'Tool — Voice AI'!$C$33*Assumptions!$B$40</f>
        <v>6.2100000000000002E-3</v>
      </c>
      <c r="V10" s="26">
        <f>'Tool — Voice AI'!$C$34*Assumptions!$B$40</f>
        <v>6.2100000000000002E-3</v>
      </c>
      <c r="W10" s="26">
        <f>'Tool — Voice AI'!$C$35*Assumptions!$B$40</f>
        <v>6.2100000000000002E-3</v>
      </c>
    </row>
    <row r="11" spans="1:23" ht="15" customHeight="1" x14ac:dyDescent="0.2">
      <c r="A11" t="s">
        <v>71</v>
      </c>
      <c r="B11" t="s">
        <v>72</v>
      </c>
      <c r="C11" s="23">
        <f t="shared" si="0"/>
        <v>0</v>
      </c>
      <c r="D11" s="73">
        <v>0</v>
      </c>
      <c r="E11" s="73">
        <v>0</v>
      </c>
      <c r="F11" s="73">
        <v>0</v>
      </c>
      <c r="G11" s="73">
        <v>0</v>
      </c>
      <c r="H11" s="73">
        <v>0</v>
      </c>
      <c r="I11" s="73">
        <v>0</v>
      </c>
      <c r="J11" s="24"/>
      <c r="K11" s="24">
        <f t="shared" si="1"/>
        <v>0</v>
      </c>
      <c r="L11" s="24">
        <f t="shared" si="1"/>
        <v>0</v>
      </c>
      <c r="M11" s="24">
        <f t="shared" si="1"/>
        <v>0</v>
      </c>
      <c r="N11" s="24">
        <f t="shared" si="1"/>
        <v>0</v>
      </c>
      <c r="O11" s="24">
        <f t="shared" si="1"/>
        <v>0</v>
      </c>
      <c r="P11" s="24">
        <f t="shared" si="1"/>
        <v>0</v>
      </c>
      <c r="Q11" s="23"/>
      <c r="R11" s="26">
        <v>0</v>
      </c>
      <c r="S11" s="26">
        <v>0</v>
      </c>
      <c r="T11" s="26">
        <v>0</v>
      </c>
      <c r="U11" s="26">
        <v>0</v>
      </c>
      <c r="V11" s="26">
        <v>0</v>
      </c>
      <c r="W11" s="26">
        <v>0</v>
      </c>
    </row>
    <row r="12" spans="1:23" ht="15" customHeight="1" x14ac:dyDescent="0.2">
      <c r="A12" s="21" t="s">
        <v>73</v>
      </c>
      <c r="B12" s="29"/>
      <c r="C12" s="29"/>
      <c r="D12" s="29"/>
      <c r="E12" s="29"/>
      <c r="F12" s="29"/>
      <c r="G12" s="29"/>
      <c r="H12" s="29"/>
      <c r="I12" s="29"/>
      <c r="J12" s="29"/>
      <c r="K12" s="29">
        <f t="shared" ref="K12:P12" si="2">SUM(K6:K11)</f>
        <v>5.6603000000000001E-2</v>
      </c>
      <c r="L12" s="29">
        <f t="shared" si="2"/>
        <v>0.12123300000000001</v>
      </c>
      <c r="M12" s="29">
        <f t="shared" si="2"/>
        <v>0.12123300000000001</v>
      </c>
      <c r="N12" s="29">
        <f t="shared" si="2"/>
        <v>0.12123300000000001</v>
      </c>
      <c r="O12" s="29">
        <f t="shared" si="2"/>
        <v>0.12123300000000001</v>
      </c>
      <c r="P12" s="29">
        <f t="shared" si="2"/>
        <v>0.12123300000000001</v>
      </c>
    </row>
    <row r="13" spans="1:23" ht="15" customHeight="1" x14ac:dyDescent="0.2">
      <c r="A13" t="s">
        <v>74</v>
      </c>
      <c r="G13" s="26"/>
      <c r="H13" s="26"/>
      <c r="I13" s="26"/>
      <c r="J13" s="26"/>
      <c r="K13" s="24">
        <f>'Content Generation'!$B$34/Assumptions!$B$41</f>
        <v>2.1804769953051646E-2</v>
      </c>
      <c r="L13" s="24">
        <f>'Content Generation'!$B$34/Assumptions!$B$41</f>
        <v>2.1804769953051646E-2</v>
      </c>
      <c r="M13" s="24">
        <f>'Content Generation'!$B$34/Assumptions!$B$41</f>
        <v>2.1804769953051646E-2</v>
      </c>
      <c r="N13" s="24">
        <f>'Content Generation'!$B$34/Assumptions!$B$41</f>
        <v>2.1804769953051646E-2</v>
      </c>
      <c r="O13" s="24">
        <f>'Content Generation'!$B$34/Assumptions!$B$41</f>
        <v>2.1804769953051646E-2</v>
      </c>
      <c r="P13" s="24">
        <f>'Content Generation'!$B$34/Assumptions!$B$41</f>
        <v>2.1804769953051646E-2</v>
      </c>
    </row>
    <row r="14" spans="1:23" ht="15" customHeight="1" x14ac:dyDescent="0.2">
      <c r="A14" s="1" t="s">
        <v>75</v>
      </c>
      <c r="G14" s="15"/>
      <c r="H14" s="15"/>
      <c r="I14" s="15"/>
      <c r="J14" s="15"/>
      <c r="K14" s="15">
        <f t="shared" ref="K14:P14" si="3">K12+K13</f>
        <v>7.8407769953051654E-2</v>
      </c>
      <c r="L14" s="15">
        <f t="shared" si="3"/>
        <v>0.14303776995305165</v>
      </c>
      <c r="M14" s="15">
        <f t="shared" si="3"/>
        <v>0.14303776995305165</v>
      </c>
      <c r="N14" s="15">
        <f t="shared" si="3"/>
        <v>0.14303776995305165</v>
      </c>
      <c r="O14" s="15">
        <f t="shared" si="3"/>
        <v>0.14303776995305165</v>
      </c>
      <c r="P14" s="15">
        <f t="shared" si="3"/>
        <v>0.14303776995305165</v>
      </c>
    </row>
    <row r="15" spans="1:23" ht="15" customHeight="1" x14ac:dyDescent="0.2">
      <c r="G15" s="15"/>
      <c r="H15" s="15"/>
      <c r="I15" s="15"/>
      <c r="J15" s="15"/>
      <c r="K15" s="15"/>
      <c r="L15" s="15"/>
      <c r="M15" s="15"/>
    </row>
    <row r="16" spans="1:23" ht="15" customHeight="1" x14ac:dyDescent="0.25">
      <c r="A16" s="72" t="s">
        <v>76</v>
      </c>
      <c r="G16" s="15"/>
      <c r="H16" s="15"/>
      <c r="I16" s="15"/>
      <c r="J16" s="15"/>
      <c r="K16" s="15"/>
      <c r="L16" s="15"/>
      <c r="M16" s="15"/>
    </row>
    <row r="17" spans="1:23" ht="15" customHeight="1" x14ac:dyDescent="0.2">
      <c r="A17" s="21" t="s">
        <v>41</v>
      </c>
      <c r="B17" s="21" t="s">
        <v>42</v>
      </c>
      <c r="C17" s="21"/>
      <c r="D17" s="21"/>
      <c r="E17" s="21"/>
      <c r="F17" s="21"/>
      <c r="G17" s="21"/>
      <c r="H17" s="21"/>
      <c r="I17" s="21"/>
      <c r="J17" s="21"/>
      <c r="K17" s="21"/>
      <c r="L17" s="21"/>
      <c r="M17" s="21"/>
      <c r="O17" s="22"/>
      <c r="P17" s="22"/>
      <c r="Q17" s="22"/>
      <c r="R17" s="22"/>
      <c r="S17" s="22"/>
    </row>
    <row r="18" spans="1:23" ht="15" customHeight="1" x14ac:dyDescent="0.2">
      <c r="A18" t="s">
        <v>77</v>
      </c>
      <c r="B18" t="s">
        <v>78</v>
      </c>
      <c r="C18" s="15">
        <v>8.6</v>
      </c>
      <c r="D18" s="15">
        <f>(Assumptions!$B$19+Assumptions!$B$20)*(1+Assumptions!$B$21/(1-Assumptions!$B$21)*Assumptions!$B$22)</f>
        <v>16.677777777777777</v>
      </c>
      <c r="E18" s="28"/>
      <c r="F18" s="28"/>
      <c r="G18" s="28"/>
      <c r="H18" s="28"/>
      <c r="I18" s="24"/>
      <c r="J18" s="24"/>
      <c r="K18" s="24"/>
      <c r="L18" s="24"/>
      <c r="M18" s="24"/>
      <c r="O18" s="23"/>
      <c r="P18" s="23"/>
      <c r="Q18" s="23"/>
      <c r="R18" s="23"/>
      <c r="S18" s="23"/>
    </row>
    <row r="19" spans="1:23" ht="15" customHeight="1" x14ac:dyDescent="0.2">
      <c r="G19" s="15"/>
      <c r="H19" s="15"/>
      <c r="I19" s="15"/>
      <c r="J19" s="15"/>
      <c r="K19" s="15"/>
      <c r="L19" s="15"/>
      <c r="M19" s="15"/>
    </row>
    <row r="20" spans="1:23" ht="16" customHeight="1" x14ac:dyDescent="0.25">
      <c r="A20" s="72" t="s">
        <v>79</v>
      </c>
      <c r="G20" s="15"/>
      <c r="H20" s="15"/>
      <c r="I20" s="15"/>
      <c r="J20" s="15"/>
      <c r="K20" s="15"/>
      <c r="L20" s="15"/>
      <c r="M20" s="15"/>
    </row>
    <row r="21" spans="1:23" ht="15" customHeight="1" x14ac:dyDescent="0.2">
      <c r="A21" s="21" t="s">
        <v>41</v>
      </c>
      <c r="B21" s="21" t="s">
        <v>42</v>
      </c>
      <c r="C21" s="21" t="s">
        <v>43</v>
      </c>
      <c r="D21" s="21" t="s">
        <v>44</v>
      </c>
      <c r="E21" s="21" t="s">
        <v>45</v>
      </c>
      <c r="F21" s="21" t="s">
        <v>46</v>
      </c>
      <c r="G21" s="21" t="s">
        <v>47</v>
      </c>
      <c r="H21" s="21" t="s">
        <v>48</v>
      </c>
      <c r="I21" s="21" t="s">
        <v>49</v>
      </c>
      <c r="J21" s="21"/>
      <c r="K21" s="21" t="s">
        <v>50</v>
      </c>
      <c r="L21" s="21" t="s">
        <v>51</v>
      </c>
      <c r="M21" s="21" t="s">
        <v>52</v>
      </c>
      <c r="N21" s="21" t="s">
        <v>53</v>
      </c>
      <c r="O21" s="21" t="s">
        <v>54</v>
      </c>
      <c r="P21" s="21" t="s">
        <v>55</v>
      </c>
      <c r="Q21" s="22"/>
      <c r="R21" s="22" t="s">
        <v>56</v>
      </c>
      <c r="S21" s="22" t="s">
        <v>57</v>
      </c>
      <c r="T21" s="22" t="s">
        <v>58</v>
      </c>
      <c r="U21" s="22" t="s">
        <v>59</v>
      </c>
      <c r="V21" s="22" t="s">
        <v>60</v>
      </c>
      <c r="W21" s="22" t="s">
        <v>61</v>
      </c>
    </row>
    <row r="22" spans="1:23" ht="15" customHeight="1" x14ac:dyDescent="0.2">
      <c r="A22" t="s">
        <v>80</v>
      </c>
      <c r="B22" t="s">
        <v>81</v>
      </c>
      <c r="C22" s="23">
        <f>S22</f>
        <v>9.1999999999999998E-3</v>
      </c>
      <c r="D22" s="25">
        <f>Assumptions!$B$5</f>
        <v>30</v>
      </c>
      <c r="E22" s="25">
        <f>Assumptions!$B$5</f>
        <v>30</v>
      </c>
      <c r="F22" s="25">
        <f>Assumptions!$B$5</f>
        <v>30</v>
      </c>
      <c r="G22" s="25">
        <f>Assumptions!$B$5</f>
        <v>30</v>
      </c>
      <c r="H22" s="25">
        <f>Assumptions!$B$5</f>
        <v>30</v>
      </c>
      <c r="I22" s="25">
        <f>Assumptions!$B$5</f>
        <v>30</v>
      </c>
      <c r="J22" s="24"/>
      <c r="K22" s="24">
        <f t="shared" ref="K22:P22" si="4">R22*D22</f>
        <v>0.27600000000000002</v>
      </c>
      <c r="L22" s="24">
        <f t="shared" si="4"/>
        <v>0.27600000000000002</v>
      </c>
      <c r="M22" s="24">
        <f t="shared" si="4"/>
        <v>0.27600000000000002</v>
      </c>
      <c r="N22" s="24">
        <f t="shared" si="4"/>
        <v>0.27600000000000002</v>
      </c>
      <c r="O22" s="24">
        <f t="shared" si="4"/>
        <v>2.7600000000000002</v>
      </c>
      <c r="P22" s="24">
        <f t="shared" si="4"/>
        <v>2.7600000000000002</v>
      </c>
      <c r="Q22" s="26"/>
      <c r="R22" s="26">
        <f>'Tool — Avatar'!$C$18*Assumptions!$B$40</f>
        <v>9.1999999999999998E-3</v>
      </c>
      <c r="S22" s="26">
        <f>'Tool — Avatar'!$C$19*Assumptions!$B$40</f>
        <v>9.1999999999999998E-3</v>
      </c>
      <c r="T22" s="26">
        <f>'Tool — Avatar'!$C$20*Assumptions!$B$40</f>
        <v>9.1999999999999998E-3</v>
      </c>
      <c r="U22" s="26">
        <f>'Tool — Avatar'!$C$21*Assumptions!$B$40</f>
        <v>9.1999999999999998E-3</v>
      </c>
      <c r="V22" s="26">
        <f>'Tool — Avatar'!$C$22*Assumptions!$B$40</f>
        <v>9.2000000000000012E-2</v>
      </c>
      <c r="W22" s="26">
        <f>'Tool — Avatar'!$C$23*Assumptions!$B$40</f>
        <v>9.2000000000000012E-2</v>
      </c>
    </row>
    <row r="23" spans="1:23" ht="15" customHeight="1" x14ac:dyDescent="0.2">
      <c r="A23" t="s">
        <v>66</v>
      </c>
      <c r="B23" t="s">
        <v>67</v>
      </c>
      <c r="C23" s="23">
        <f>S23</f>
        <v>3.8639999999999998E-3</v>
      </c>
      <c r="D23" s="25">
        <f t="shared" ref="D23:I23" si="5">D22</f>
        <v>30</v>
      </c>
      <c r="E23" s="25">
        <f t="shared" si="5"/>
        <v>30</v>
      </c>
      <c r="F23" s="25">
        <f t="shared" si="5"/>
        <v>30</v>
      </c>
      <c r="G23" s="25">
        <f t="shared" si="5"/>
        <v>30</v>
      </c>
      <c r="H23" s="25">
        <f t="shared" si="5"/>
        <v>30</v>
      </c>
      <c r="I23" s="25">
        <f t="shared" si="5"/>
        <v>30</v>
      </c>
      <c r="J23" s="24"/>
      <c r="K23" s="24">
        <f>R23*D23*IF('Tool — Avatar'!$B$18="Talkio.ai",0,1)</f>
        <v>0.11592</v>
      </c>
      <c r="L23" s="24">
        <f>S23*E23*IF('Tool — Avatar'!$B$19="Talkio.ai",0,1)</f>
        <v>0.11592</v>
      </c>
      <c r="M23" s="24">
        <f>T23*F23*IF('Tool — Avatar'!$B$20="Talkio.ai",0,1)</f>
        <v>0.11592</v>
      </c>
      <c r="N23" s="24">
        <f>U23*G23*IF('Tool — Avatar'!$B$21="Talkio.ai",0,1)</f>
        <v>0.11592</v>
      </c>
      <c r="O23" s="24">
        <f>V23*H23*IF('Tool — Avatar'!$B$22="Talkio.ai",0,1)</f>
        <v>0.11592</v>
      </c>
      <c r="P23" s="24">
        <f>W23*I23*IF('Tool — Avatar'!$B$23="Talkio.ai",0,1)</f>
        <v>0.11592</v>
      </c>
      <c r="Q23" s="26"/>
      <c r="R23" s="26">
        <f>'Tool — Voice AI'!$C$14*Assumptions!$B$40</f>
        <v>3.8639999999999998E-3</v>
      </c>
      <c r="S23" s="26">
        <f>'Tool — Voice AI'!$C$15*Assumptions!$B$40</f>
        <v>3.8639999999999998E-3</v>
      </c>
      <c r="T23" s="26">
        <f>'Tool — Voice AI'!$C$16*Assumptions!$B$40</f>
        <v>3.8639999999999998E-3</v>
      </c>
      <c r="U23" s="26">
        <f>'Tool — Voice AI'!$C$17*Assumptions!$B$40</f>
        <v>3.8639999999999998E-3</v>
      </c>
      <c r="V23" s="26">
        <f>'Tool — Voice AI'!$C$18*Assumptions!$B$40</f>
        <v>3.8639999999999998E-3</v>
      </c>
      <c r="W23" s="26">
        <f>'Tool — Voice AI'!$C$19*Assumptions!$B$40</f>
        <v>3.8639999999999998E-3</v>
      </c>
    </row>
    <row r="24" spans="1:23" ht="15" customHeight="1" x14ac:dyDescent="0.2">
      <c r="A24" t="s">
        <v>70</v>
      </c>
      <c r="B24" t="s">
        <v>67</v>
      </c>
      <c r="C24" s="23">
        <f>S24</f>
        <v>6.2100000000000002E-3</v>
      </c>
      <c r="D24" s="25">
        <f t="shared" ref="D24:I24" si="6">D23/2</f>
        <v>15</v>
      </c>
      <c r="E24" s="25">
        <f t="shared" si="6"/>
        <v>15</v>
      </c>
      <c r="F24" s="25">
        <f t="shared" si="6"/>
        <v>15</v>
      </c>
      <c r="G24" s="25">
        <f t="shared" si="6"/>
        <v>15</v>
      </c>
      <c r="H24" s="25">
        <f t="shared" si="6"/>
        <v>15</v>
      </c>
      <c r="I24" s="25">
        <f t="shared" si="6"/>
        <v>15</v>
      </c>
      <c r="J24" s="24"/>
      <c r="K24" s="24">
        <f>R24*D24*IF('Tool — Avatar'!$B$18="Talkio.ai",0,1)</f>
        <v>9.3150000000000011E-2</v>
      </c>
      <c r="L24" s="24">
        <f>S24*E24*IF('Tool — Avatar'!$B$19="Talkio.ai",0,1)</f>
        <v>9.3150000000000011E-2</v>
      </c>
      <c r="M24" s="24">
        <f>T24*F24*IF('Tool — Avatar'!$B$20="Talkio.ai",0,1)</f>
        <v>9.3150000000000011E-2</v>
      </c>
      <c r="N24" s="24">
        <f>U24*G24*IF('Tool — Avatar'!$B$21="Talkio.ai",0,1)</f>
        <v>9.3150000000000011E-2</v>
      </c>
      <c r="O24" s="24">
        <f>V24*H24*IF('Tool — Avatar'!$B$22="Talkio.ai",0,1)</f>
        <v>9.3150000000000011E-2</v>
      </c>
      <c r="P24" s="24">
        <f>W24*I24*IF('Tool — Avatar'!$B$23="Talkio.ai",0,1)</f>
        <v>9.3150000000000011E-2</v>
      </c>
      <c r="Q24" s="26"/>
      <c r="R24" s="26">
        <f>'Tool — Voice AI'!$C$30*Assumptions!$B$40</f>
        <v>6.2100000000000002E-3</v>
      </c>
      <c r="S24" s="26">
        <f>'Tool — Voice AI'!$C$31*Assumptions!$B$40</f>
        <v>6.2100000000000002E-3</v>
      </c>
      <c r="T24" s="26">
        <f>'Tool — Voice AI'!$C$32*Assumptions!$B$40</f>
        <v>6.2100000000000002E-3</v>
      </c>
      <c r="U24" s="26">
        <f>'Tool — Voice AI'!$C$33*Assumptions!$B$40</f>
        <v>6.2100000000000002E-3</v>
      </c>
      <c r="V24" s="26">
        <f>'Tool — Voice AI'!$C$34*Assumptions!$B$40</f>
        <v>6.2100000000000002E-3</v>
      </c>
      <c r="W24" s="26">
        <f>'Tool — Voice AI'!$C$35*Assumptions!$B$40</f>
        <v>6.2100000000000002E-3</v>
      </c>
    </row>
    <row r="25" spans="1:23" ht="15" customHeight="1" x14ac:dyDescent="0.2">
      <c r="A25" s="21" t="s">
        <v>82</v>
      </c>
      <c r="B25" s="29"/>
      <c r="C25" s="29"/>
      <c r="D25" s="29"/>
      <c r="E25" s="29"/>
      <c r="F25" s="29"/>
      <c r="G25" s="29"/>
      <c r="H25" s="29"/>
      <c r="I25" s="29"/>
      <c r="J25" s="29"/>
      <c r="K25" s="29">
        <f t="shared" ref="K25:P25" si="7">SUM(K22:K24)</f>
        <v>0.48507000000000006</v>
      </c>
      <c r="L25" s="29">
        <f t="shared" si="7"/>
        <v>0.48507000000000006</v>
      </c>
      <c r="M25" s="29">
        <f t="shared" si="7"/>
        <v>0.48507000000000006</v>
      </c>
      <c r="N25" s="29">
        <f t="shared" si="7"/>
        <v>0.48507000000000006</v>
      </c>
      <c r="O25" s="29">
        <f t="shared" si="7"/>
        <v>2.9690700000000003</v>
      </c>
      <c r="P25" s="29">
        <f t="shared" si="7"/>
        <v>2.9690700000000003</v>
      </c>
    </row>
    <row r="26" spans="1:23" ht="15" customHeight="1" x14ac:dyDescent="0.2">
      <c r="A26" t="s">
        <v>74</v>
      </c>
      <c r="G26" s="26"/>
      <c r="H26" s="26"/>
      <c r="I26" s="26"/>
      <c r="J26" s="26"/>
      <c r="K26" s="24">
        <f>'Content Generation'!$B$34/Assumptions!$B$41</f>
        <v>2.1804769953051646E-2</v>
      </c>
      <c r="L26" s="24">
        <f>'Content Generation'!$B$34/Assumptions!$B$41</f>
        <v>2.1804769953051646E-2</v>
      </c>
      <c r="M26" s="24">
        <f>'Content Generation'!$B$34/Assumptions!$B$41</f>
        <v>2.1804769953051646E-2</v>
      </c>
      <c r="N26" s="24">
        <f>'Content Generation'!$B$34/Assumptions!$B$41</f>
        <v>2.1804769953051646E-2</v>
      </c>
      <c r="O26" s="24">
        <f>'Content Generation'!$B$34/Assumptions!$B$41</f>
        <v>2.1804769953051646E-2</v>
      </c>
      <c r="P26" s="24">
        <f>'Content Generation'!$B$34/Assumptions!$B$41</f>
        <v>2.1804769953051646E-2</v>
      </c>
    </row>
    <row r="27" spans="1:23" ht="15" customHeight="1" x14ac:dyDescent="0.2">
      <c r="A27" s="1" t="s">
        <v>75</v>
      </c>
      <c r="G27" s="15"/>
      <c r="H27" s="15"/>
      <c r="I27" s="15"/>
      <c r="J27" s="15"/>
      <c r="K27" s="15">
        <f t="shared" ref="K27:P27" si="8">K25+K26</f>
        <v>0.5068747699530517</v>
      </c>
      <c r="L27" s="15">
        <f t="shared" si="8"/>
        <v>0.5068747699530517</v>
      </c>
      <c r="M27" s="15">
        <f t="shared" si="8"/>
        <v>0.5068747699530517</v>
      </c>
      <c r="N27" s="15">
        <f t="shared" si="8"/>
        <v>0.5068747699530517</v>
      </c>
      <c r="O27" s="15">
        <f t="shared" si="8"/>
        <v>2.9908747699530518</v>
      </c>
      <c r="P27" s="15">
        <f t="shared" si="8"/>
        <v>2.9908747699530518</v>
      </c>
    </row>
    <row r="28" spans="1:23" ht="15" customHeight="1" x14ac:dyDescent="0.2">
      <c r="G28" s="15"/>
      <c r="H28" s="15"/>
      <c r="I28" s="15"/>
      <c r="J28" s="15"/>
      <c r="K28" s="15"/>
      <c r="L28" s="15"/>
      <c r="M28" s="15"/>
    </row>
    <row r="29" spans="1:23" ht="15" customHeight="1" x14ac:dyDescent="0.2"/>
    <row r="30" spans="1:23" ht="15" customHeight="1" x14ac:dyDescent="0.2">
      <c r="G30" s="29"/>
      <c r="H30" s="29"/>
      <c r="I30" s="29"/>
    </row>
    <row r="32" spans="1:23" ht="15" customHeight="1" x14ac:dyDescent="0.2">
      <c r="A32" s="31" t="s">
        <v>83</v>
      </c>
      <c r="B32" s="16"/>
      <c r="C32" s="16"/>
      <c r="D32" s="16"/>
      <c r="E32" s="16"/>
      <c r="F32" s="16"/>
      <c r="G32" s="32"/>
      <c r="H32" s="32"/>
      <c r="I32" s="32"/>
      <c r="J32" s="16"/>
      <c r="K32" s="16"/>
      <c r="L32" s="16"/>
      <c r="M32" s="16"/>
    </row>
    <row r="33" spans="1:13" ht="15" customHeight="1" x14ac:dyDescent="0.2">
      <c r="A33" s="33" t="s">
        <v>84</v>
      </c>
      <c r="G33" s="15"/>
      <c r="H33" s="15"/>
      <c r="I33" s="15"/>
    </row>
    <row r="34" spans="1:13" ht="15" customHeight="1" x14ac:dyDescent="0.2">
      <c r="A34" s="34" t="s">
        <v>85</v>
      </c>
      <c r="B34" s="6">
        <v>0.16</v>
      </c>
      <c r="G34" s="35"/>
      <c r="H34" s="35"/>
      <c r="I34" s="35"/>
    </row>
    <row r="35" spans="1:13" ht="15" customHeight="1" x14ac:dyDescent="0.2">
      <c r="A35" s="36" t="s">
        <v>86</v>
      </c>
      <c r="B35" s="36" t="s">
        <v>87</v>
      </c>
      <c r="C35" s="36" t="s">
        <v>88</v>
      </c>
      <c r="D35" s="36" t="s">
        <v>89</v>
      </c>
      <c r="E35" s="36" t="s">
        <v>90</v>
      </c>
      <c r="F35" s="36" t="s">
        <v>91</v>
      </c>
      <c r="G35" s="37" t="s">
        <v>92</v>
      </c>
      <c r="H35" s="37" t="s">
        <v>93</v>
      </c>
      <c r="I35" s="37" t="s">
        <v>94</v>
      </c>
      <c r="J35" s="36" t="s">
        <v>95</v>
      </c>
      <c r="K35" s="36" t="s">
        <v>96</v>
      </c>
      <c r="L35" s="36" t="s">
        <v>97</v>
      </c>
      <c r="M35" s="36" t="s">
        <v>98</v>
      </c>
    </row>
    <row r="36" spans="1:13" ht="15" customHeight="1" x14ac:dyDescent="0.2">
      <c r="A36" s="34" t="s">
        <v>99</v>
      </c>
      <c r="B36" s="38">
        <v>800</v>
      </c>
      <c r="C36" s="39">
        <v>0</v>
      </c>
      <c r="D36" s="40">
        <v>2</v>
      </c>
      <c r="E36" s="40">
        <v>0</v>
      </c>
      <c r="F36" s="41">
        <v>8</v>
      </c>
      <c r="G36" s="42">
        <f>IFERROR(C36/F36,0)</f>
        <v>0</v>
      </c>
      <c r="H36" s="42">
        <f>IFERROR((D36+E36)/F36,0)</f>
        <v>0.25</v>
      </c>
      <c r="I36" s="43">
        <f>B36*C36</f>
        <v>0</v>
      </c>
      <c r="J36" s="43">
        <f>B36*(D36+E36)</f>
        <v>1600</v>
      </c>
      <c r="K36" s="43">
        <f>I36*$B$34</f>
        <v>0</v>
      </c>
      <c r="L36" s="43">
        <f>I36-J36-K36</f>
        <v>-1600</v>
      </c>
      <c r="M36" s="43">
        <f>C36*16.5</f>
        <v>0</v>
      </c>
    </row>
    <row r="37" spans="1:13" ht="15" customHeight="1" x14ac:dyDescent="0.2">
      <c r="A37" s="34" t="s">
        <v>100</v>
      </c>
      <c r="B37" s="38">
        <v>60</v>
      </c>
      <c r="C37" s="39">
        <v>19</v>
      </c>
      <c r="D37" s="40">
        <v>2</v>
      </c>
      <c r="E37" s="40">
        <v>0</v>
      </c>
      <c r="F37" s="41">
        <v>10</v>
      </c>
      <c r="G37" s="42">
        <f>IFERROR(C37/F37,0)</f>
        <v>1.9</v>
      </c>
      <c r="H37" s="42">
        <f>IFERROR((D37+E37)/F37,0)</f>
        <v>0.2</v>
      </c>
      <c r="I37" s="43">
        <f>B37*C37</f>
        <v>1140</v>
      </c>
      <c r="J37" s="43">
        <f>B37*(D37+E37)</f>
        <v>120</v>
      </c>
      <c r="K37" s="43">
        <f>I37*$B$34</f>
        <v>182.4</v>
      </c>
      <c r="L37" s="43">
        <f>I37-J37-K37</f>
        <v>837.6</v>
      </c>
      <c r="M37" s="43">
        <f>C37*16.5</f>
        <v>313.5</v>
      </c>
    </row>
    <row r="38" spans="1:13" ht="15" customHeight="1" x14ac:dyDescent="0.2">
      <c r="A38" s="34" t="s">
        <v>101</v>
      </c>
      <c r="B38" s="38">
        <v>60</v>
      </c>
      <c r="C38" s="39">
        <v>49</v>
      </c>
      <c r="D38" s="40">
        <v>2</v>
      </c>
      <c r="E38" s="40">
        <v>3.75</v>
      </c>
      <c r="F38" s="41">
        <v>12</v>
      </c>
      <c r="G38" s="42">
        <f>IFERROR(C38/F38,0)</f>
        <v>4.083333333333333</v>
      </c>
      <c r="H38" s="42">
        <f>IFERROR((D38+E38)/F38,0)</f>
        <v>0.47916666666666669</v>
      </c>
      <c r="I38" s="43">
        <f>B38*C38</f>
        <v>2940</v>
      </c>
      <c r="J38" s="43">
        <f>B38*(D38+E38)</f>
        <v>345</v>
      </c>
      <c r="K38" s="43">
        <f>I38*$B$34</f>
        <v>470.40000000000003</v>
      </c>
      <c r="L38" s="43">
        <f>I38-J38-K38</f>
        <v>2124.6</v>
      </c>
      <c r="M38" s="43">
        <f>C38*16.5</f>
        <v>808.5</v>
      </c>
    </row>
    <row r="39" spans="1:13" ht="15" customHeight="1" x14ac:dyDescent="0.2">
      <c r="A39" s="34" t="s">
        <v>102</v>
      </c>
      <c r="B39" s="38">
        <v>40</v>
      </c>
      <c r="C39" s="39">
        <v>40</v>
      </c>
      <c r="D39" s="40">
        <v>2</v>
      </c>
      <c r="E39" s="40">
        <v>5</v>
      </c>
      <c r="F39" s="41">
        <v>10</v>
      </c>
      <c r="G39" s="42">
        <f>IFERROR(C39/F39,0)</f>
        <v>4</v>
      </c>
      <c r="H39" s="42">
        <f>IFERROR((D39+E39)/F39,0)</f>
        <v>0.7</v>
      </c>
      <c r="I39" s="43">
        <f>B39*C39</f>
        <v>1600</v>
      </c>
      <c r="J39" s="43">
        <f>B39*(D39+E39)</f>
        <v>280</v>
      </c>
      <c r="K39" s="43">
        <f>I39*$B$34</f>
        <v>256</v>
      </c>
      <c r="L39" s="43">
        <f>I39-J39-K39</f>
        <v>1064</v>
      </c>
      <c r="M39" s="43">
        <f>C39*16.5</f>
        <v>660</v>
      </c>
    </row>
    <row r="40" spans="1:13" ht="15" customHeight="1" x14ac:dyDescent="0.2">
      <c r="A40" s="34" t="s">
        <v>103</v>
      </c>
      <c r="B40" s="38">
        <v>40</v>
      </c>
      <c r="C40" s="39">
        <v>100</v>
      </c>
      <c r="D40" s="40">
        <v>2</v>
      </c>
      <c r="E40" s="40">
        <v>15</v>
      </c>
      <c r="F40" s="41">
        <v>15</v>
      </c>
      <c r="G40" s="42">
        <f>IFERROR(C40/F40,0)</f>
        <v>6.666666666666667</v>
      </c>
      <c r="H40" s="42">
        <f>IFERROR((D40+E40)/F40,0)</f>
        <v>1.1333333333333333</v>
      </c>
      <c r="I40" s="43">
        <f>B40*C40</f>
        <v>4000</v>
      </c>
      <c r="J40" s="43">
        <f>B40*(D40+E40)</f>
        <v>680</v>
      </c>
      <c r="K40" s="43">
        <f>I40*$B$34</f>
        <v>640</v>
      </c>
      <c r="L40" s="43">
        <f>I40-J40-K40</f>
        <v>2680</v>
      </c>
      <c r="M40" s="43">
        <f>C40*16.5</f>
        <v>1650</v>
      </c>
    </row>
    <row r="41" spans="1:13" ht="15" customHeight="1" x14ac:dyDescent="0.2">
      <c r="A41" s="44" t="s">
        <v>104</v>
      </c>
      <c r="B41" s="45">
        <f>SUM(B36:B40)</f>
        <v>1000</v>
      </c>
      <c r="C41" s="46"/>
      <c r="D41" s="46"/>
      <c r="E41" s="46"/>
      <c r="F41" s="46"/>
      <c r="G41" s="46"/>
      <c r="H41" s="46"/>
      <c r="I41" s="47">
        <f>SUM(I36:I40)</f>
        <v>9680</v>
      </c>
      <c r="J41" s="47">
        <f>SUM(J36:J40)</f>
        <v>3025</v>
      </c>
      <c r="K41" s="47">
        <f>SUM(K36:K40)</f>
        <v>1548.8000000000002</v>
      </c>
      <c r="L41" s="47">
        <f>SUM(L36:L40)</f>
        <v>5106.2</v>
      </c>
      <c r="M41" s="46"/>
    </row>
  </sheetData>
  <mergeCells count="2">
    <mergeCell ref="A1:I1"/>
    <mergeCell ref="A2:I2"/>
  </mergeCells>
  <pageMargins left="0.75" right="0.75" top="1" bottom="1" header="0.511811023622047" footer="0.511811023622047"/>
  <pageSetup paperSize="9" orientation="portrait" horizontalDpi="300" verticalDpi="300"/>
  <drawing r:id="rId1"/>
  <legacy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H76"/>
  <sheetViews>
    <sheetView tabSelected="1" topLeftCell="A8" zoomScaleNormal="100" workbookViewId="0">
      <selection activeCell="F24" sqref="F24"/>
    </sheetView>
  </sheetViews>
  <sheetFormatPr baseColWidth="10" defaultColWidth="8.83203125" defaultRowHeight="15" x14ac:dyDescent="0.2"/>
  <cols>
    <col min="1" max="1" width="34" customWidth="1"/>
    <col min="2" max="8" width="18.5" customWidth="1"/>
  </cols>
  <sheetData>
    <row r="1" spans="1:8" ht="15.75" customHeight="1" x14ac:dyDescent="0.2">
      <c r="A1" s="21" t="s">
        <v>105</v>
      </c>
    </row>
    <row r="2" spans="1:8" ht="15" customHeight="1" x14ac:dyDescent="0.2">
      <c r="A2" s="30" t="s">
        <v>106</v>
      </c>
    </row>
    <row r="4" spans="1:8" ht="15" customHeight="1" x14ac:dyDescent="0.2">
      <c r="A4" s="1" t="s">
        <v>107</v>
      </c>
      <c r="B4" s="16"/>
      <c r="C4" s="16"/>
      <c r="D4" s="16"/>
      <c r="E4" s="16"/>
      <c r="F4" s="16"/>
      <c r="G4" s="16"/>
      <c r="H4" s="16"/>
    </row>
    <row r="5" spans="1:8" ht="15" customHeight="1" x14ac:dyDescent="0.2">
      <c r="A5" s="3" t="s">
        <v>108</v>
      </c>
      <c r="B5" s="4">
        <v>250000</v>
      </c>
      <c r="C5" s="30"/>
    </row>
    <row r="6" spans="1:8" ht="15" customHeight="1" x14ac:dyDescent="0.2">
      <c r="A6" s="3" t="s">
        <v>109</v>
      </c>
      <c r="B6" s="79">
        <v>0.2</v>
      </c>
      <c r="C6" s="30" t="s">
        <v>110</v>
      </c>
    </row>
    <row r="7" spans="1:8" ht="15" customHeight="1" x14ac:dyDescent="0.2">
      <c r="A7" s="3" t="s">
        <v>111</v>
      </c>
      <c r="B7" s="49">
        <f>B5*B6</f>
        <v>50000</v>
      </c>
    </row>
    <row r="8" spans="1:8" ht="15" customHeight="1" x14ac:dyDescent="0.2">
      <c r="A8" s="3" t="s">
        <v>112</v>
      </c>
      <c r="B8" s="80">
        <f>1-B9-B10-B11</f>
        <v>0.39999999999999991</v>
      </c>
      <c r="C8" s="30"/>
    </row>
    <row r="9" spans="1:8" x14ac:dyDescent="0.2">
      <c r="A9" s="3" t="s">
        <v>113</v>
      </c>
      <c r="B9" s="79">
        <v>0.3</v>
      </c>
      <c r="C9" s="30"/>
    </row>
    <row r="10" spans="1:8" x14ac:dyDescent="0.2">
      <c r="A10" s="3" t="s">
        <v>114</v>
      </c>
      <c r="B10" s="79">
        <v>0.2</v>
      </c>
      <c r="C10" s="30"/>
    </row>
    <row r="11" spans="1:8" ht="15" customHeight="1" x14ac:dyDescent="0.2">
      <c r="A11" s="3" t="s">
        <v>115</v>
      </c>
      <c r="B11" s="79">
        <v>0.1</v>
      </c>
    </row>
    <row r="12" spans="1:8" ht="15" customHeight="1" x14ac:dyDescent="0.2">
      <c r="A12" s="3" t="s">
        <v>116</v>
      </c>
      <c r="B12" s="49">
        <f>B7*B8</f>
        <v>19999.999999999996</v>
      </c>
    </row>
    <row r="13" spans="1:8" ht="15" customHeight="1" x14ac:dyDescent="0.2">
      <c r="A13" s="3" t="s">
        <v>117</v>
      </c>
      <c r="B13" s="49">
        <f>B7*B9</f>
        <v>15000</v>
      </c>
      <c r="C13" s="30"/>
    </row>
    <row r="14" spans="1:8" ht="15" customHeight="1" x14ac:dyDescent="0.2">
      <c r="A14" s="3" t="s">
        <v>118</v>
      </c>
      <c r="B14" s="49">
        <f>B7*B10</f>
        <v>10000</v>
      </c>
      <c r="C14" s="30"/>
    </row>
    <row r="15" spans="1:8" ht="15" customHeight="1" x14ac:dyDescent="0.2">
      <c r="A15" s="3" t="s">
        <v>119</v>
      </c>
      <c r="B15" s="49">
        <f>B7*B11</f>
        <v>5000</v>
      </c>
    </row>
    <row r="16" spans="1:8" ht="15" customHeight="1" x14ac:dyDescent="0.2">
      <c r="A16" s="3" t="s">
        <v>120</v>
      </c>
      <c r="B16" s="49">
        <f>B5-B7</f>
        <v>200000</v>
      </c>
      <c r="C16" s="30" t="s">
        <v>121</v>
      </c>
    </row>
    <row r="17" spans="1:8" ht="15" customHeight="1" x14ac:dyDescent="0.2">
      <c r="A17" s="3" t="s">
        <v>122</v>
      </c>
      <c r="B17" s="49">
        <f>B5/5</f>
        <v>50000</v>
      </c>
      <c r="C17" s="30" t="s">
        <v>123</v>
      </c>
    </row>
    <row r="18" spans="1:8" ht="15" customHeight="1" x14ac:dyDescent="0.2">
      <c r="A18" s="3" t="s">
        <v>124</v>
      </c>
      <c r="B18" s="49">
        <f>B16+B12+B13+B14+B15+B17</f>
        <v>300000</v>
      </c>
    </row>
    <row r="19" spans="1:8" ht="15" customHeight="1" x14ac:dyDescent="0.2">
      <c r="A19" s="3"/>
      <c r="B19" s="27"/>
    </row>
    <row r="20" spans="1:8" ht="15" customHeight="1" x14ac:dyDescent="0.2">
      <c r="A20" s="1" t="s">
        <v>125</v>
      </c>
      <c r="B20" s="16"/>
      <c r="C20" s="16"/>
      <c r="D20" s="16"/>
      <c r="E20" s="16"/>
      <c r="F20" s="16"/>
      <c r="G20" s="16"/>
      <c r="H20" s="16"/>
    </row>
    <row r="21" spans="1:8" ht="15" customHeight="1" x14ac:dyDescent="0.2">
      <c r="A21" s="3"/>
      <c r="B21" s="22" t="s">
        <v>99</v>
      </c>
      <c r="C21" s="22" t="s">
        <v>100</v>
      </c>
      <c r="D21" s="22" t="s">
        <v>101</v>
      </c>
      <c r="E21" s="22" t="s">
        <v>102</v>
      </c>
      <c r="F21" s="22" t="s">
        <v>103</v>
      </c>
      <c r="G21" s="22" t="s">
        <v>126</v>
      </c>
      <c r="H21" s="22" t="s">
        <v>127</v>
      </c>
    </row>
    <row r="22" spans="1:8" ht="15" customHeight="1" x14ac:dyDescent="0.2">
      <c r="A22" s="3" t="s">
        <v>128</v>
      </c>
      <c r="B22" s="49">
        <f>B16</f>
        <v>200000</v>
      </c>
      <c r="C22" s="49">
        <f>B12</f>
        <v>19999.999999999996</v>
      </c>
      <c r="D22" s="49">
        <f>B13</f>
        <v>15000</v>
      </c>
      <c r="E22" s="49">
        <f>B14</f>
        <v>10000</v>
      </c>
      <c r="F22" s="49">
        <f>B15</f>
        <v>5000</v>
      </c>
      <c r="G22" s="49">
        <f>B17</f>
        <v>50000</v>
      </c>
      <c r="H22" s="49">
        <f>SUM(B22:G22)</f>
        <v>300000</v>
      </c>
    </row>
    <row r="23" spans="1:8" ht="15" customHeight="1" x14ac:dyDescent="0.2">
      <c r="A23" s="3" t="s">
        <v>129</v>
      </c>
      <c r="B23" s="81">
        <v>0</v>
      </c>
      <c r="C23" s="74">
        <f>Assumptions!B13</f>
        <v>19</v>
      </c>
      <c r="D23" s="74">
        <f>Assumptions!B14</f>
        <v>49</v>
      </c>
      <c r="E23" s="74">
        <f>Assumptions!B17</f>
        <v>39</v>
      </c>
      <c r="F23" s="74">
        <f>Assumptions!B15</f>
        <v>100</v>
      </c>
      <c r="G23" s="74">
        <v>149</v>
      </c>
    </row>
    <row r="24" spans="1:8" ht="15" customHeight="1" x14ac:dyDescent="0.2">
      <c r="A24" s="3" t="s">
        <v>130</v>
      </c>
      <c r="B24" s="75">
        <v>5</v>
      </c>
      <c r="C24" s="75">
        <v>10</v>
      </c>
      <c r="D24" s="75">
        <v>8</v>
      </c>
      <c r="E24" s="75">
        <v>10</v>
      </c>
      <c r="F24" s="75">
        <v>6</v>
      </c>
      <c r="G24" s="75">
        <v>6</v>
      </c>
    </row>
    <row r="25" spans="1:8" ht="15" customHeight="1" x14ac:dyDescent="0.2">
      <c r="A25" s="3" t="s">
        <v>131</v>
      </c>
      <c r="B25" s="84">
        <v>0</v>
      </c>
      <c r="C25" s="75">
        <v>2</v>
      </c>
      <c r="D25" s="75">
        <v>4</v>
      </c>
      <c r="E25" s="75">
        <v>4</v>
      </c>
      <c r="F25" s="75">
        <v>8</v>
      </c>
      <c r="G25" s="75">
        <v>4</v>
      </c>
    </row>
    <row r="26" spans="1:8" ht="15" customHeight="1" x14ac:dyDescent="0.2">
      <c r="A26" s="3" t="s">
        <v>132</v>
      </c>
      <c r="B26" s="82">
        <v>0.05</v>
      </c>
      <c r="C26" s="75">
        <v>0</v>
      </c>
      <c r="D26" s="75">
        <v>2</v>
      </c>
      <c r="E26" s="75">
        <v>1</v>
      </c>
      <c r="F26" s="75">
        <v>2</v>
      </c>
      <c r="G26" s="75">
        <v>2</v>
      </c>
    </row>
    <row r="27" spans="1:8" ht="15" customHeight="1" x14ac:dyDescent="0.2">
      <c r="A27" s="3" t="s">
        <v>133</v>
      </c>
      <c r="B27" s="49">
        <f t="shared" ref="B27:G27" si="0">B22*B24*12</f>
        <v>12000000</v>
      </c>
      <c r="C27" s="49">
        <f t="shared" si="0"/>
        <v>2399999.9999999995</v>
      </c>
      <c r="D27" s="49">
        <f t="shared" si="0"/>
        <v>1440000</v>
      </c>
      <c r="E27" s="49">
        <f t="shared" si="0"/>
        <v>1200000</v>
      </c>
      <c r="F27" s="49">
        <f t="shared" si="0"/>
        <v>360000</v>
      </c>
      <c r="G27" s="49">
        <f t="shared" si="0"/>
        <v>3600000</v>
      </c>
      <c r="H27" s="49">
        <f>SUM(B27:G27)</f>
        <v>21000000</v>
      </c>
    </row>
    <row r="28" spans="1:8" ht="15" customHeight="1" x14ac:dyDescent="0.2">
      <c r="A28" s="3" t="s">
        <v>134</v>
      </c>
      <c r="B28" s="49">
        <f t="shared" ref="B28:G28" si="1">B22*B25*12</f>
        <v>0</v>
      </c>
      <c r="C28" s="49">
        <f t="shared" si="1"/>
        <v>479999.99999999988</v>
      </c>
      <c r="D28" s="49">
        <f t="shared" si="1"/>
        <v>720000</v>
      </c>
      <c r="E28" s="49">
        <f t="shared" si="1"/>
        <v>480000</v>
      </c>
      <c r="F28" s="49">
        <f t="shared" si="1"/>
        <v>480000</v>
      </c>
      <c r="G28" s="49">
        <f t="shared" si="1"/>
        <v>2400000</v>
      </c>
      <c r="H28" s="49">
        <f>SUM(B28:G28)</f>
        <v>4560000</v>
      </c>
    </row>
    <row r="29" spans="1:8" ht="15" customHeight="1" x14ac:dyDescent="0.2">
      <c r="A29" s="3" t="s">
        <v>135</v>
      </c>
      <c r="B29" s="49">
        <f t="shared" ref="B29:G29" si="2">B22*B26*12</f>
        <v>120000</v>
      </c>
      <c r="C29" s="49">
        <f t="shared" si="2"/>
        <v>0</v>
      </c>
      <c r="D29" s="49">
        <f t="shared" si="2"/>
        <v>360000</v>
      </c>
      <c r="E29" s="49">
        <f t="shared" si="2"/>
        <v>120000</v>
      </c>
      <c r="F29" s="49">
        <f t="shared" si="2"/>
        <v>120000</v>
      </c>
      <c r="G29" s="49">
        <f t="shared" si="2"/>
        <v>1200000</v>
      </c>
      <c r="H29" s="49">
        <f>SUM(B29:G29)</f>
        <v>1920000</v>
      </c>
    </row>
    <row r="30" spans="1:8" ht="15" customHeight="1" x14ac:dyDescent="0.2">
      <c r="A30" s="3" t="s">
        <v>136</v>
      </c>
      <c r="B30" s="27">
        <f>'Feature Cost Build'!K14</f>
        <v>7.8407769953051654E-2</v>
      </c>
      <c r="C30" s="27">
        <f>'Feature Cost Build'!L14</f>
        <v>0.14303776995305165</v>
      </c>
      <c r="D30" s="27">
        <f>'Feature Cost Build'!M14</f>
        <v>0.14303776995305165</v>
      </c>
      <c r="E30" s="27">
        <f>'Feature Cost Build'!N14</f>
        <v>0.14303776995305165</v>
      </c>
      <c r="F30" s="27">
        <f>'Feature Cost Build'!O14</f>
        <v>0.14303776995305165</v>
      </c>
      <c r="G30" s="27">
        <f>'Feature Cost Build'!P14</f>
        <v>0.14303776995305165</v>
      </c>
    </row>
    <row r="31" spans="1:8" ht="15" customHeight="1" x14ac:dyDescent="0.2">
      <c r="A31" s="3" t="s">
        <v>137</v>
      </c>
      <c r="B31" s="27">
        <f>'Feature Cost Build'!K27</f>
        <v>0.5068747699530517</v>
      </c>
      <c r="C31" s="27">
        <f>'Feature Cost Build'!L27</f>
        <v>0.5068747699530517</v>
      </c>
      <c r="D31" s="27">
        <f>'Feature Cost Build'!M27</f>
        <v>0.5068747699530517</v>
      </c>
      <c r="E31" s="27">
        <f>'Feature Cost Build'!N27</f>
        <v>0.5068747699530517</v>
      </c>
      <c r="F31" s="27">
        <f>'Feature Cost Build'!O27</f>
        <v>2.9908747699530518</v>
      </c>
      <c r="G31" s="27">
        <f>'Feature Cost Build'!P27</f>
        <v>2.9908747699530518</v>
      </c>
    </row>
    <row r="32" spans="1:8" x14ac:dyDescent="0.2">
      <c r="A32" s="3" t="s">
        <v>138</v>
      </c>
      <c r="B32" s="27">
        <f>'Feature Cost Build'!$C$18</f>
        <v>8.6</v>
      </c>
      <c r="C32" s="27">
        <f>'Feature Cost Build'!$C$18</f>
        <v>8.6</v>
      </c>
      <c r="D32" s="27">
        <f>'Feature Cost Build'!$C$18</f>
        <v>8.6</v>
      </c>
      <c r="E32" s="27">
        <f>'Feature Cost Build'!$C$18</f>
        <v>8.6</v>
      </c>
      <c r="F32" s="27">
        <f>'Feature Cost Build'!$C$18</f>
        <v>8.6</v>
      </c>
      <c r="G32" s="27">
        <f>'Feature Cost Build'!$C$18</f>
        <v>8.6</v>
      </c>
    </row>
    <row r="33" spans="1:8" x14ac:dyDescent="0.2">
      <c r="A33" s="3" t="s">
        <v>139</v>
      </c>
      <c r="B33" s="83">
        <f>B32*B26+B25*B31+B24*B30</f>
        <v>0.82203884976525821</v>
      </c>
      <c r="C33" s="83">
        <f t="shared" ref="C33:G33" si="3">C32*C26+C25*C31+C24*C30</f>
        <v>2.4441272394366198</v>
      </c>
      <c r="D33" s="83">
        <f t="shared" si="3"/>
        <v>20.371801239436618</v>
      </c>
      <c r="E33" s="83">
        <f t="shared" si="3"/>
        <v>12.057876779342724</v>
      </c>
      <c r="F33" s="83">
        <f t="shared" si="3"/>
        <v>41.985224779342722</v>
      </c>
      <c r="G33" s="83">
        <f t="shared" si="3"/>
        <v>30.021725699530514</v>
      </c>
    </row>
    <row r="34" spans="1:8" ht="15" customHeight="1" x14ac:dyDescent="0.2">
      <c r="A34" s="3" t="s">
        <v>140</v>
      </c>
      <c r="B34" s="51">
        <f t="shared" ref="B34:G35" si="4">B27*B30</f>
        <v>940893.2394366198</v>
      </c>
      <c r="C34" s="51">
        <f t="shared" si="4"/>
        <v>343290.64788732387</v>
      </c>
      <c r="D34" s="51">
        <f t="shared" si="4"/>
        <v>205974.38873239438</v>
      </c>
      <c r="E34" s="51">
        <f t="shared" si="4"/>
        <v>171645.32394366196</v>
      </c>
      <c r="F34" s="51">
        <f t="shared" si="4"/>
        <v>51493.597183098595</v>
      </c>
      <c r="G34" s="51">
        <f t="shared" si="4"/>
        <v>514935.97183098592</v>
      </c>
      <c r="H34" s="51">
        <f t="shared" ref="H34:H41" si="5">SUM(B34:G34)</f>
        <v>2228233.1690140846</v>
      </c>
    </row>
    <row r="35" spans="1:8" ht="15" customHeight="1" x14ac:dyDescent="0.2">
      <c r="A35" s="3" t="s">
        <v>141</v>
      </c>
      <c r="B35" s="51">
        <f t="shared" si="4"/>
        <v>0</v>
      </c>
      <c r="C35" s="51">
        <f t="shared" si="4"/>
        <v>243299.88957746475</v>
      </c>
      <c r="D35" s="51">
        <f t="shared" si="4"/>
        <v>364949.83436619723</v>
      </c>
      <c r="E35" s="51">
        <f t="shared" si="4"/>
        <v>243299.88957746481</v>
      </c>
      <c r="F35" s="51">
        <f t="shared" si="4"/>
        <v>1435619.8895774649</v>
      </c>
      <c r="G35" s="51">
        <f t="shared" si="4"/>
        <v>7178099.4478873247</v>
      </c>
      <c r="H35" s="51">
        <f t="shared" si="5"/>
        <v>9465268.950985916</v>
      </c>
    </row>
    <row r="36" spans="1:8" ht="15" customHeight="1" x14ac:dyDescent="0.2">
      <c r="A36" s="3" t="s">
        <v>142</v>
      </c>
      <c r="B36" s="51">
        <f>SUM(B34:B35)</f>
        <v>940893.2394366198</v>
      </c>
      <c r="C36" s="51">
        <f t="shared" ref="C36:H36" si="6">SUM(C34:C35)</f>
        <v>586590.53746478865</v>
      </c>
      <c r="D36" s="51">
        <f t="shared" si="6"/>
        <v>570924.22309859167</v>
      </c>
      <c r="E36" s="51">
        <f t="shared" si="6"/>
        <v>414945.21352112677</v>
      </c>
      <c r="F36" s="51">
        <f t="shared" si="6"/>
        <v>1487113.4867605634</v>
      </c>
      <c r="G36" s="51">
        <f t="shared" si="6"/>
        <v>7693035.4197183102</v>
      </c>
      <c r="H36" s="51">
        <f t="shared" si="6"/>
        <v>11693502.120000001</v>
      </c>
    </row>
    <row r="37" spans="1:8" ht="15" customHeight="1" x14ac:dyDescent="0.2">
      <c r="A37" s="3" t="s">
        <v>143</v>
      </c>
      <c r="B37" s="51">
        <f t="shared" ref="B37:G37" si="7">B29*B32</f>
        <v>1032000</v>
      </c>
      <c r="C37" s="51">
        <f t="shared" si="7"/>
        <v>0</v>
      </c>
      <c r="D37" s="51">
        <f t="shared" si="7"/>
        <v>3096000</v>
      </c>
      <c r="E37" s="51">
        <f t="shared" si="7"/>
        <v>1032000</v>
      </c>
      <c r="F37" s="51">
        <f t="shared" si="7"/>
        <v>1032000</v>
      </c>
      <c r="G37" s="51">
        <f t="shared" si="7"/>
        <v>10320000</v>
      </c>
      <c r="H37" s="51">
        <f t="shared" si="5"/>
        <v>16512000</v>
      </c>
    </row>
    <row r="38" spans="1:8" ht="15" customHeight="1" x14ac:dyDescent="0.2">
      <c r="A38" s="3" t="s">
        <v>144</v>
      </c>
      <c r="B38" s="14">
        <f t="shared" ref="B38:G38" si="8">B34+B35+B37</f>
        <v>1972893.2394366199</v>
      </c>
      <c r="C38" s="14">
        <f t="shared" si="8"/>
        <v>586590.53746478865</v>
      </c>
      <c r="D38" s="14">
        <f t="shared" si="8"/>
        <v>3666924.2230985919</v>
      </c>
      <c r="E38" s="14">
        <f t="shared" si="8"/>
        <v>1446945.2135211267</v>
      </c>
      <c r="F38" s="14">
        <f t="shared" si="8"/>
        <v>2519113.4867605632</v>
      </c>
      <c r="G38" s="14">
        <f t="shared" si="8"/>
        <v>18013035.41971831</v>
      </c>
      <c r="H38" s="14">
        <f t="shared" si="5"/>
        <v>28205502.120000001</v>
      </c>
    </row>
    <row r="39" spans="1:8" ht="15" customHeight="1" x14ac:dyDescent="0.2">
      <c r="A39" s="3" t="s">
        <v>145</v>
      </c>
      <c r="B39" s="76">
        <f t="shared" ref="B39:G39" si="9">B22*B23*12</f>
        <v>0</v>
      </c>
      <c r="C39" s="76">
        <f t="shared" si="9"/>
        <v>4559999.9999999991</v>
      </c>
      <c r="D39" s="76">
        <f t="shared" si="9"/>
        <v>8820000</v>
      </c>
      <c r="E39" s="76">
        <f t="shared" si="9"/>
        <v>4680000</v>
      </c>
      <c r="F39" s="76">
        <f t="shared" si="9"/>
        <v>6000000</v>
      </c>
      <c r="G39" s="76">
        <f t="shared" si="9"/>
        <v>89400000</v>
      </c>
      <c r="H39" s="76">
        <f t="shared" si="5"/>
        <v>113460000</v>
      </c>
    </row>
    <row r="40" spans="1:8" ht="15" customHeight="1" x14ac:dyDescent="0.2">
      <c r="A40" s="3" t="s">
        <v>146</v>
      </c>
      <c r="B40" s="51">
        <f>B39*Assumptions!$B$40</f>
        <v>0</v>
      </c>
      <c r="C40" s="51">
        <f>C39*Assumptions!$B$40</f>
        <v>4195199.9999999991</v>
      </c>
      <c r="D40" s="51">
        <f>D39*Assumptions!$B$40</f>
        <v>8114400</v>
      </c>
      <c r="E40" s="51">
        <f>E39*Assumptions!$B$40</f>
        <v>4305600</v>
      </c>
      <c r="F40" s="51">
        <f>F39*Assumptions!$B$40</f>
        <v>5520000</v>
      </c>
      <c r="G40" s="51">
        <f>G39*Assumptions!$B$40</f>
        <v>82248000</v>
      </c>
      <c r="H40" s="14">
        <f t="shared" si="5"/>
        <v>104383200</v>
      </c>
    </row>
    <row r="41" spans="1:8" ht="15" customHeight="1" x14ac:dyDescent="0.2">
      <c r="A41" s="3" t="s">
        <v>147</v>
      </c>
      <c r="B41" s="51">
        <f t="shared" ref="B41:G41" si="10">B40-B38</f>
        <v>-1972893.2394366199</v>
      </c>
      <c r="C41" s="51">
        <f t="shared" si="10"/>
        <v>3608609.4625352104</v>
      </c>
      <c r="D41" s="51">
        <f t="shared" si="10"/>
        <v>4447475.7769014081</v>
      </c>
      <c r="E41" s="51">
        <f t="shared" si="10"/>
        <v>2858654.7864788733</v>
      </c>
      <c r="F41" s="51">
        <f t="shared" si="10"/>
        <v>3000886.5132394368</v>
      </c>
      <c r="G41" s="51">
        <f t="shared" si="10"/>
        <v>64234964.58028169</v>
      </c>
      <c r="H41" s="14">
        <f t="shared" si="5"/>
        <v>76177697.879999995</v>
      </c>
    </row>
    <row r="42" spans="1:8" ht="15" customHeight="1" x14ac:dyDescent="0.2">
      <c r="A42" s="3" t="s">
        <v>148</v>
      </c>
      <c r="B42" s="78" t="str">
        <f t="shared" ref="B42:H42" si="11">IF(B40=0,"n/a",1-B38/B40)</f>
        <v>n/a</v>
      </c>
      <c r="C42" s="77">
        <f t="shared" si="11"/>
        <v>0.8601757872175847</v>
      </c>
      <c r="D42" s="77">
        <f t="shared" si="11"/>
        <v>0.5480966894534911</v>
      </c>
      <c r="E42" s="77">
        <f t="shared" si="11"/>
        <v>0.66393877426581049</v>
      </c>
      <c r="F42" s="77">
        <f t="shared" si="11"/>
        <v>0.54363886109410087</v>
      </c>
      <c r="G42" s="77">
        <f t="shared" si="11"/>
        <v>0.78099120440961101</v>
      </c>
      <c r="H42" s="77">
        <f t="shared" si="11"/>
        <v>0.72978887292207939</v>
      </c>
    </row>
    <row r="43" spans="1:8" ht="15" customHeight="1" x14ac:dyDescent="0.2">
      <c r="A43" s="3" t="s">
        <v>149</v>
      </c>
      <c r="B43" s="78" t="str">
        <f>IF(B40=0,"n/a",B36/B40)</f>
        <v>n/a</v>
      </c>
      <c r="C43" s="78">
        <f>IF(C40=0,"n/a",C36/C40)</f>
        <v>0.13982421278241533</v>
      </c>
      <c r="D43" s="78">
        <f>IF(D40=0,"n/a",D36/D40)</f>
        <v>7.0359388629916156E-2</v>
      </c>
      <c r="E43" s="78">
        <f t="shared" ref="E43:H43" si="12">IF(E40=0,"n/a",E36/E40)</f>
        <v>9.6373377350689043E-2</v>
      </c>
      <c r="F43" s="78">
        <f t="shared" si="12"/>
        <v>0.26940461716676872</v>
      </c>
      <c r="G43" s="78">
        <f t="shared" si="12"/>
        <v>9.3534619926543022E-2</v>
      </c>
      <c r="H43" s="78">
        <f t="shared" si="12"/>
        <v>0.11202475225898421</v>
      </c>
    </row>
    <row r="44" spans="1:8" ht="15" customHeight="1" x14ac:dyDescent="0.2">
      <c r="A44" s="3"/>
      <c r="B44" s="51"/>
      <c r="C44" s="51"/>
      <c r="D44" s="51"/>
      <c r="E44" s="51"/>
      <c r="F44" s="51"/>
      <c r="G44" s="48"/>
    </row>
    <row r="45" spans="1:8" ht="15" customHeight="1" x14ac:dyDescent="0.2">
      <c r="A45" s="1" t="s">
        <v>150</v>
      </c>
      <c r="B45" s="16"/>
      <c r="C45" s="16"/>
      <c r="D45" s="16"/>
      <c r="E45" s="16"/>
      <c r="F45" s="16"/>
      <c r="G45" s="16"/>
      <c r="H45" s="16"/>
    </row>
    <row r="46" spans="1:8" ht="15" customHeight="1" x14ac:dyDescent="0.2">
      <c r="A46" s="3" t="s">
        <v>151</v>
      </c>
      <c r="B46" s="14">
        <f>H40</f>
        <v>104383200</v>
      </c>
      <c r="C46" s="24"/>
      <c r="D46" s="30" t="s">
        <v>152</v>
      </c>
      <c r="E46" s="76">
        <f>IF((B12+B13+B14+B15+B17)=0,0,H39/(B12+B13+B14+B15+B17)/12)</f>
        <v>94.55</v>
      </c>
      <c r="F46" s="24"/>
      <c r="G46" s="48"/>
    </row>
    <row r="47" spans="1:8" ht="15" customHeight="1" x14ac:dyDescent="0.2">
      <c r="A47" s="3" t="s">
        <v>153</v>
      </c>
      <c r="B47" s="51">
        <f>H40*Assumptions!B16</f>
        <v>2609580</v>
      </c>
      <c r="C47" s="30" t="s">
        <v>154</v>
      </c>
      <c r="D47" s="51"/>
      <c r="E47" s="51"/>
      <c r="F47" s="51"/>
      <c r="G47" s="48"/>
    </row>
    <row r="48" spans="1:8" ht="15" customHeight="1" x14ac:dyDescent="0.2">
      <c r="A48" s="3" t="s">
        <v>155</v>
      </c>
      <c r="B48" s="51">
        <f>H40-B47</f>
        <v>101773620</v>
      </c>
      <c r="C48" s="49"/>
      <c r="D48" s="49"/>
      <c r="E48" s="49"/>
      <c r="F48" s="49"/>
      <c r="G48" s="48"/>
    </row>
    <row r="49" spans="1:8" ht="15" customHeight="1" x14ac:dyDescent="0.2">
      <c r="A49" s="3" t="s">
        <v>156</v>
      </c>
      <c r="B49" s="51">
        <f>H38</f>
        <v>28205502.120000001</v>
      </c>
      <c r="C49" s="24"/>
      <c r="D49" s="24"/>
      <c r="E49" s="24"/>
      <c r="F49" s="24"/>
      <c r="G49" s="48"/>
    </row>
    <row r="50" spans="1:8" ht="15" customHeight="1" x14ac:dyDescent="0.2">
      <c r="A50" s="3" t="s">
        <v>157</v>
      </c>
      <c r="B50" s="14">
        <f>B48-B49</f>
        <v>73568117.879999995</v>
      </c>
      <c r="C50" s="51"/>
      <c r="D50" s="51"/>
      <c r="E50" s="51"/>
      <c r="F50" s="51"/>
      <c r="G50" s="48"/>
    </row>
    <row r="51" spans="1:8" ht="15" customHeight="1" x14ac:dyDescent="0.2">
      <c r="A51" s="3" t="s">
        <v>148</v>
      </c>
      <c r="B51" s="77">
        <f>IF(B48=0,0,B50/B48)</f>
        <v>0.72286038248418394</v>
      </c>
      <c r="G51" s="48"/>
    </row>
    <row r="52" spans="1:8" ht="15" customHeight="1" x14ac:dyDescent="0.2">
      <c r="A52" s="3" t="s">
        <v>158</v>
      </c>
      <c r="B52" s="51">
        <f>Assumptions!B29-Assumptions!B25</f>
        <v>1250000</v>
      </c>
      <c r="C52" s="30" t="s">
        <v>159</v>
      </c>
      <c r="D52" s="14"/>
      <c r="E52" s="14"/>
      <c r="F52" s="14"/>
      <c r="G52" s="48"/>
    </row>
    <row r="53" spans="1:8" ht="15" customHeight="1" x14ac:dyDescent="0.2">
      <c r="A53" s="3" t="s">
        <v>160</v>
      </c>
      <c r="B53" s="14">
        <f>B50-B52</f>
        <v>72318117.879999995</v>
      </c>
      <c r="C53" s="50"/>
      <c r="D53" s="50"/>
      <c r="E53" s="50"/>
      <c r="F53" s="50"/>
      <c r="G53" s="48"/>
    </row>
    <row r="54" spans="1:8" ht="15" customHeight="1" x14ac:dyDescent="0.2">
      <c r="A54" s="3" t="s">
        <v>161</v>
      </c>
      <c r="B54" s="77">
        <f>IF(B48=0,0,B53/B48)</f>
        <v>0.71057822135048354</v>
      </c>
      <c r="C54" s="14"/>
      <c r="D54" s="14"/>
      <c r="E54" s="14"/>
      <c r="F54" s="14"/>
      <c r="G54" s="48"/>
    </row>
    <row r="55" spans="1:8" ht="15" customHeight="1" x14ac:dyDescent="0.2">
      <c r="A55" s="3"/>
      <c r="B55" s="14"/>
      <c r="C55" s="14"/>
      <c r="D55" s="14"/>
      <c r="E55" s="14"/>
      <c r="F55" s="14"/>
      <c r="G55" s="48"/>
    </row>
    <row r="56" spans="1:8" x14ac:dyDescent="0.2">
      <c r="A56" s="1" t="s">
        <v>162</v>
      </c>
      <c r="B56" s="16"/>
      <c r="C56" s="16"/>
      <c r="D56" s="16"/>
      <c r="E56" s="16"/>
      <c r="F56" s="16"/>
      <c r="G56" s="16"/>
      <c r="H56" s="16"/>
    </row>
    <row r="57" spans="1:8" x14ac:dyDescent="0.2">
      <c r="A57" s="3" t="s">
        <v>163</v>
      </c>
      <c r="B57" s="49">
        <f>B18</f>
        <v>300000</v>
      </c>
      <c r="C57" s="70"/>
      <c r="D57" s="70"/>
      <c r="E57" s="70"/>
      <c r="F57" s="70"/>
    </row>
    <row r="58" spans="1:8" ht="15" customHeight="1" x14ac:dyDescent="0.2">
      <c r="A58" s="3" t="s">
        <v>164</v>
      </c>
      <c r="B58" s="49">
        <f>B12+B13+B14+B15</f>
        <v>50000</v>
      </c>
    </row>
    <row r="59" spans="1:8" ht="15" customHeight="1" x14ac:dyDescent="0.2">
      <c r="A59" s="3" t="s">
        <v>165</v>
      </c>
      <c r="B59" s="76">
        <f>IF((B12+B13+B14+B15+B17)=0,0,H39/(B12+B13+B14+B15+B17))</f>
        <v>1134.5999999999999</v>
      </c>
      <c r="D59" s="71"/>
    </row>
    <row r="60" spans="1:8" ht="15" customHeight="1" x14ac:dyDescent="0.2">
      <c r="A60" s="3" t="s">
        <v>166</v>
      </c>
      <c r="B60" s="49">
        <f>H27+H28+H29</f>
        <v>27480000</v>
      </c>
      <c r="C60" s="30"/>
    </row>
    <row r="61" spans="1:8" ht="15" customHeight="1" x14ac:dyDescent="0.2">
      <c r="A61" s="3" t="s">
        <v>167</v>
      </c>
      <c r="B61" s="49">
        <f>(B22*(B24+B25+B26)+C22*(C24+C25+C26)+D22*(D24+D25+D26)+E22*(E24+E25+E26)+F22*(F24+F25+F26)+G22*(G24+G25+G26))/30</f>
        <v>76333.333333333328</v>
      </c>
      <c r="C61" s="30" t="s">
        <v>168</v>
      </c>
    </row>
    <row r="62" spans="1:8" ht="15" customHeight="1" x14ac:dyDescent="0.2">
      <c r="A62" s="3" t="s">
        <v>169</v>
      </c>
      <c r="B62" s="51">
        <f>B49+B52+B47</f>
        <v>32065082.120000001</v>
      </c>
    </row>
    <row r="63" spans="1:8" ht="15" customHeight="1" x14ac:dyDescent="0.2">
      <c r="A63" s="3" t="s">
        <v>170</v>
      </c>
      <c r="B63" s="24">
        <f>B62/B18</f>
        <v>106.88360706666667</v>
      </c>
    </row>
    <row r="64" spans="1:8" ht="15" customHeight="1" x14ac:dyDescent="0.2">
      <c r="A64" s="3"/>
      <c r="B64" s="52"/>
    </row>
    <row r="65" spans="1:6" ht="15" customHeight="1" x14ac:dyDescent="0.2">
      <c r="A65" s="3"/>
      <c r="B65" s="11"/>
      <c r="C65" s="30"/>
    </row>
    <row r="66" spans="1:6" ht="15" customHeight="1" x14ac:dyDescent="0.2">
      <c r="A66" s="13"/>
      <c r="B66" s="14"/>
    </row>
    <row r="67" spans="1:6" ht="15" customHeight="1" x14ac:dyDescent="0.2">
      <c r="A67" s="13"/>
      <c r="B67" s="35"/>
    </row>
    <row r="69" spans="1:6" ht="15" customHeight="1" x14ac:dyDescent="0.2">
      <c r="A69" s="1"/>
      <c r="B69" s="16"/>
      <c r="C69" s="16"/>
      <c r="D69" s="16"/>
      <c r="E69" s="16"/>
      <c r="F69" s="16"/>
    </row>
    <row r="70" spans="1:6" ht="15" customHeight="1" x14ac:dyDescent="0.2">
      <c r="A70" s="3"/>
      <c r="B70" s="49"/>
    </row>
    <row r="71" spans="1:6" ht="15" customHeight="1" x14ac:dyDescent="0.2">
      <c r="A71" s="3"/>
      <c r="B71" s="49"/>
    </row>
    <row r="72" spans="1:6" ht="15" customHeight="1" x14ac:dyDescent="0.2">
      <c r="A72" s="3"/>
      <c r="B72" s="50"/>
    </row>
    <row r="73" spans="1:6" ht="15" customHeight="1" x14ac:dyDescent="0.2">
      <c r="A73" s="3"/>
      <c r="B73" s="49"/>
    </row>
    <row r="74" spans="1:6" ht="15" customHeight="1" x14ac:dyDescent="0.2">
      <c r="A74" s="3"/>
      <c r="B74" s="49"/>
      <c r="C74" s="30"/>
    </row>
    <row r="75" spans="1:6" ht="15" customHeight="1" x14ac:dyDescent="0.2">
      <c r="A75" s="3"/>
      <c r="B75" s="51"/>
    </row>
    <row r="76" spans="1:6" ht="15" customHeight="1" x14ac:dyDescent="0.2">
      <c r="A76" s="3"/>
      <c r="B76" s="24"/>
    </row>
  </sheetData>
  <pageMargins left="0.75" right="0.75" top="1" bottom="1" header="0.511811023622047" footer="0.511811023622047"/>
  <pageSetup paperSize="9" orientation="portrait" horizontalDpi="300" verticalDpi="300"/>
  <legacy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C34"/>
  <sheetViews>
    <sheetView zoomScaleNormal="100" workbookViewId="0">
      <selection activeCell="H28" sqref="H28"/>
    </sheetView>
  </sheetViews>
  <sheetFormatPr baseColWidth="10" defaultColWidth="8.83203125" defaultRowHeight="15" x14ac:dyDescent="0.2"/>
  <cols>
    <col min="1" max="1" width="42" customWidth="1"/>
    <col min="2" max="2" width="16" customWidth="1"/>
    <col min="3" max="3" width="52" customWidth="1"/>
  </cols>
  <sheetData>
    <row r="1" spans="1:3" ht="15.75" customHeight="1" x14ac:dyDescent="0.2">
      <c r="A1" s="21" t="s">
        <v>171</v>
      </c>
    </row>
    <row r="2" spans="1:3" ht="15" customHeight="1" x14ac:dyDescent="0.2">
      <c r="A2" s="30" t="s">
        <v>172</v>
      </c>
    </row>
    <row r="4" spans="1:3" ht="15" customHeight="1" x14ac:dyDescent="0.2">
      <c r="A4" s="1" t="s">
        <v>173</v>
      </c>
      <c r="B4" s="16"/>
      <c r="C4" s="16"/>
    </row>
    <row r="5" spans="1:3" ht="15" customHeight="1" x14ac:dyDescent="0.2">
      <c r="A5" s="3" t="s">
        <v>174</v>
      </c>
      <c r="B5" s="17">
        <v>12</v>
      </c>
      <c r="C5" s="30" t="s">
        <v>175</v>
      </c>
    </row>
    <row r="6" spans="1:3" ht="15" customHeight="1" x14ac:dyDescent="0.2">
      <c r="A6" s="3" t="s">
        <v>176</v>
      </c>
      <c r="B6" s="4">
        <v>6</v>
      </c>
      <c r="C6" s="30" t="s">
        <v>177</v>
      </c>
    </row>
    <row r="7" spans="1:3" ht="15" customHeight="1" x14ac:dyDescent="0.2">
      <c r="A7" s="3" t="s">
        <v>178</v>
      </c>
      <c r="B7" s="17">
        <v>50</v>
      </c>
      <c r="C7" s="30" t="s">
        <v>179</v>
      </c>
    </row>
    <row r="8" spans="1:3" ht="15" customHeight="1" x14ac:dyDescent="0.2">
      <c r="A8" s="13" t="s">
        <v>180</v>
      </c>
      <c r="B8" s="48">
        <f>B5*B6*B7</f>
        <v>3600</v>
      </c>
      <c r="C8" s="30" t="s">
        <v>181</v>
      </c>
    </row>
    <row r="10" spans="1:3" ht="15" customHeight="1" x14ac:dyDescent="0.2">
      <c r="A10" s="1" t="s">
        <v>182</v>
      </c>
      <c r="B10" s="16"/>
      <c r="C10" s="16"/>
    </row>
    <row r="11" spans="1:3" ht="15" customHeight="1" x14ac:dyDescent="0.2">
      <c r="A11" s="13" t="s">
        <v>183</v>
      </c>
    </row>
    <row r="12" spans="1:3" ht="15" customHeight="1" x14ac:dyDescent="0.2">
      <c r="A12" s="3" t="s">
        <v>184</v>
      </c>
      <c r="B12" s="17">
        <v>50000</v>
      </c>
      <c r="C12" s="30" t="s">
        <v>185</v>
      </c>
    </row>
    <row r="13" spans="1:3" ht="15" customHeight="1" x14ac:dyDescent="0.2">
      <c r="A13" s="3" t="s">
        <v>186</v>
      </c>
      <c r="B13" s="26">
        <f>'Tool — LLM'!$C$15*Assumptions!$B$40</f>
        <v>5.5200000000000006E-3</v>
      </c>
      <c r="C13" s="30" t="s">
        <v>187</v>
      </c>
    </row>
    <row r="14" spans="1:3" ht="15" customHeight="1" x14ac:dyDescent="0.2">
      <c r="A14" s="3" t="s">
        <v>188</v>
      </c>
      <c r="B14" s="24">
        <f>B12/1000*B13</f>
        <v>0.27600000000000002</v>
      </c>
      <c r="C14" s="30"/>
    </row>
    <row r="15" spans="1:3" ht="15" customHeight="1" x14ac:dyDescent="0.2">
      <c r="A15" s="13" t="s">
        <v>189</v>
      </c>
    </row>
    <row r="16" spans="1:3" ht="15" customHeight="1" x14ac:dyDescent="0.2">
      <c r="A16" s="3" t="s">
        <v>190</v>
      </c>
      <c r="B16" s="53">
        <v>4</v>
      </c>
      <c r="C16" s="30" t="s">
        <v>191</v>
      </c>
    </row>
    <row r="17" spans="1:3" ht="15" customHeight="1" x14ac:dyDescent="0.2">
      <c r="A17" s="3" t="s">
        <v>192</v>
      </c>
      <c r="B17" s="9">
        <v>60</v>
      </c>
      <c r="C17" s="30" t="s">
        <v>193</v>
      </c>
    </row>
    <row r="18" spans="1:3" ht="15" customHeight="1" x14ac:dyDescent="0.2">
      <c r="A18" s="3" t="s">
        <v>194</v>
      </c>
      <c r="B18" s="24">
        <f>B16*B17</f>
        <v>240</v>
      </c>
      <c r="C18" s="30" t="s">
        <v>195</v>
      </c>
    </row>
    <row r="19" spans="1:3" ht="15" customHeight="1" x14ac:dyDescent="0.2">
      <c r="A19" s="13" t="s">
        <v>196</v>
      </c>
    </row>
    <row r="20" spans="1:3" ht="15" customHeight="1" x14ac:dyDescent="0.2">
      <c r="A20" s="3" t="s">
        <v>197</v>
      </c>
      <c r="B20" s="54">
        <v>50</v>
      </c>
      <c r="C20" s="30" t="s">
        <v>198</v>
      </c>
    </row>
    <row r="21" spans="1:3" ht="15" customHeight="1" x14ac:dyDescent="0.2">
      <c r="A21" s="13" t="s">
        <v>199</v>
      </c>
      <c r="B21" s="15">
        <f>B14+B18+B20</f>
        <v>290.27600000000001</v>
      </c>
      <c r="C21" s="30" t="s">
        <v>200</v>
      </c>
    </row>
    <row r="23" spans="1:3" ht="15" customHeight="1" x14ac:dyDescent="0.2">
      <c r="A23" s="1" t="s">
        <v>201</v>
      </c>
      <c r="B23" s="16"/>
      <c r="C23" s="16"/>
    </row>
    <row r="24" spans="1:3" ht="15" customHeight="1" x14ac:dyDescent="0.2">
      <c r="A24" s="3" t="s">
        <v>202</v>
      </c>
      <c r="B24" s="14">
        <f>B8*B21</f>
        <v>1044993.6000000001</v>
      </c>
      <c r="C24" s="30" t="s">
        <v>203</v>
      </c>
    </row>
    <row r="25" spans="1:3" ht="15" customHeight="1" x14ac:dyDescent="0.2">
      <c r="A25" s="3" t="s">
        <v>204</v>
      </c>
      <c r="B25" s="17">
        <v>3</v>
      </c>
      <c r="C25" s="30" t="s">
        <v>205</v>
      </c>
    </row>
    <row r="26" spans="1:3" ht="15" customHeight="1" x14ac:dyDescent="0.2">
      <c r="A26" s="13" t="s">
        <v>206</v>
      </c>
      <c r="B26" s="14">
        <f>B24/B25</f>
        <v>348331.2</v>
      </c>
      <c r="C26" s="30" t="s">
        <v>207</v>
      </c>
    </row>
    <row r="28" spans="1:3" ht="15" customHeight="1" x14ac:dyDescent="0.2">
      <c r="A28" s="1" t="s">
        <v>208</v>
      </c>
      <c r="B28" s="16"/>
      <c r="C28" s="16"/>
    </row>
    <row r="29" spans="1:3" ht="15" customHeight="1" x14ac:dyDescent="0.2">
      <c r="A29" s="3" t="s">
        <v>209</v>
      </c>
      <c r="B29" s="10">
        <v>0.2</v>
      </c>
      <c r="C29" s="30" t="s">
        <v>210</v>
      </c>
    </row>
    <row r="30" spans="1:3" ht="15" customHeight="1" x14ac:dyDescent="0.2">
      <c r="A30" s="3" t="s">
        <v>211</v>
      </c>
      <c r="B30" s="49">
        <f>B8*B29</f>
        <v>720</v>
      </c>
      <c r="C30" s="30" t="s">
        <v>212</v>
      </c>
    </row>
    <row r="31" spans="1:3" ht="15" customHeight="1" x14ac:dyDescent="0.2">
      <c r="A31" s="13" t="s">
        <v>213</v>
      </c>
      <c r="B31" s="14">
        <f>B30*B21</f>
        <v>208998.72</v>
      </c>
      <c r="C31" s="30" t="s">
        <v>214</v>
      </c>
    </row>
    <row r="33" spans="1:3" ht="15" customHeight="1" x14ac:dyDescent="0.2">
      <c r="A33" s="1" t="s">
        <v>215</v>
      </c>
      <c r="B33" s="16"/>
      <c r="C33" s="16"/>
    </row>
    <row r="34" spans="1:3" ht="15" customHeight="1" x14ac:dyDescent="0.2">
      <c r="A34" s="13" t="s">
        <v>216</v>
      </c>
      <c r="B34" s="55">
        <f>B26+B31</f>
        <v>557329.92000000004</v>
      </c>
      <c r="C34" s="30" t="s">
        <v>217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E23"/>
  <sheetViews>
    <sheetView zoomScaleNormal="100" workbookViewId="0">
      <selection activeCell="C1" sqref="C1"/>
    </sheetView>
  </sheetViews>
  <sheetFormatPr baseColWidth="10" defaultColWidth="8.6640625" defaultRowHeight="15" x14ac:dyDescent="0.2"/>
  <cols>
    <col min="1" max="1" width="26" customWidth="1"/>
    <col min="2" max="2" width="22" customWidth="1"/>
    <col min="3" max="3" width="22" style="85" customWidth="1"/>
    <col min="4" max="4" width="46" customWidth="1"/>
    <col min="5" max="5" width="42" customWidth="1"/>
  </cols>
  <sheetData>
    <row r="1" spans="1:5" ht="15" customHeight="1" x14ac:dyDescent="0.2">
      <c r="A1" s="2" t="s">
        <v>218</v>
      </c>
    </row>
    <row r="2" spans="1:5" ht="15" customHeight="1" x14ac:dyDescent="0.2">
      <c r="A2" s="30" t="s">
        <v>219</v>
      </c>
    </row>
    <row r="4" spans="1:5" ht="15" customHeight="1" x14ac:dyDescent="0.2">
      <c r="A4" s="1" t="s">
        <v>220</v>
      </c>
      <c r="B4" s="16"/>
      <c r="C4" s="86"/>
      <c r="D4" s="16"/>
    </row>
    <row r="5" spans="1:5" ht="15" customHeight="1" x14ac:dyDescent="0.2">
      <c r="A5" s="22" t="s">
        <v>221</v>
      </c>
      <c r="B5" s="22" t="s">
        <v>222</v>
      </c>
      <c r="C5" s="87" t="s">
        <v>223</v>
      </c>
      <c r="D5" s="22" t="s">
        <v>224</v>
      </c>
    </row>
    <row r="6" spans="1:5" ht="15" customHeight="1" x14ac:dyDescent="0.2">
      <c r="A6" s="3" t="s">
        <v>225</v>
      </c>
      <c r="B6" s="56">
        <v>0.01</v>
      </c>
      <c r="C6" s="88" t="s">
        <v>226</v>
      </c>
      <c r="D6" s="57" t="s">
        <v>227</v>
      </c>
    </row>
    <row r="7" spans="1:5" ht="15" customHeight="1" x14ac:dyDescent="0.2">
      <c r="A7" s="3" t="s">
        <v>228</v>
      </c>
      <c r="B7" s="56">
        <v>0.05</v>
      </c>
      <c r="C7" s="88" t="s">
        <v>226</v>
      </c>
      <c r="D7" s="33" t="s">
        <v>229</v>
      </c>
      <c r="E7" s="58" t="s">
        <v>230</v>
      </c>
    </row>
    <row r="8" spans="1:5" ht="15" customHeight="1" x14ac:dyDescent="0.2">
      <c r="A8" s="3" t="s">
        <v>231</v>
      </c>
      <c r="B8" s="56">
        <v>0.1</v>
      </c>
      <c r="C8" s="88" t="s">
        <v>226</v>
      </c>
      <c r="D8" s="33" t="s">
        <v>232</v>
      </c>
      <c r="E8" s="58" t="s">
        <v>233</v>
      </c>
    </row>
    <row r="9" spans="1:5" ht="15" customHeight="1" x14ac:dyDescent="0.2">
      <c r="A9" s="3" t="s">
        <v>234</v>
      </c>
      <c r="B9" s="56">
        <v>0.15</v>
      </c>
      <c r="C9" s="88" t="s">
        <v>226</v>
      </c>
      <c r="D9" s="57" t="s">
        <v>235</v>
      </c>
    </row>
    <row r="10" spans="1:5" ht="15" customHeight="1" x14ac:dyDescent="0.2">
      <c r="A10" s="3" t="s">
        <v>236</v>
      </c>
      <c r="B10" s="56">
        <v>0.19</v>
      </c>
      <c r="C10" s="88" t="s">
        <v>226</v>
      </c>
      <c r="D10" s="57" t="s">
        <v>237</v>
      </c>
    </row>
    <row r="11" spans="1:5" ht="15" customHeight="1" x14ac:dyDescent="0.2">
      <c r="A11" s="3" t="s">
        <v>238</v>
      </c>
      <c r="B11" s="56">
        <v>0.37</v>
      </c>
      <c r="C11" s="88" t="s">
        <v>226</v>
      </c>
      <c r="D11" s="33" t="s">
        <v>239</v>
      </c>
      <c r="E11" s="58" t="s">
        <v>240</v>
      </c>
    </row>
    <row r="12" spans="1:5" ht="15" customHeight="1" x14ac:dyDescent="0.2">
      <c r="A12" s="3" t="s">
        <v>241</v>
      </c>
      <c r="B12" s="56">
        <v>5.9</v>
      </c>
      <c r="C12" s="88" t="s">
        <v>226</v>
      </c>
      <c r="D12" s="57" t="s">
        <v>242</v>
      </c>
    </row>
    <row r="13" spans="1:5" ht="15" customHeight="1" x14ac:dyDescent="0.2">
      <c r="A13" s="3" t="s">
        <v>243</v>
      </c>
      <c r="B13" s="56">
        <v>0.3</v>
      </c>
      <c r="C13" s="88" t="s">
        <v>226</v>
      </c>
      <c r="D13" s="33" t="s">
        <v>244</v>
      </c>
    </row>
    <row r="14" spans="1:5" ht="15" customHeight="1" x14ac:dyDescent="0.2">
      <c r="A14" s="3" t="s">
        <v>245</v>
      </c>
      <c r="B14" s="56">
        <v>5.0000000000000001E-3</v>
      </c>
      <c r="C14" s="88" t="s">
        <v>226</v>
      </c>
      <c r="D14" s="57" t="s">
        <v>246</v>
      </c>
    </row>
    <row r="15" spans="1:5" ht="15" customHeight="1" x14ac:dyDescent="0.2">
      <c r="A15" s="13"/>
      <c r="B15" s="13"/>
      <c r="C15" s="89"/>
    </row>
    <row r="16" spans="1:5" ht="15" customHeight="1" x14ac:dyDescent="0.2">
      <c r="A16" s="1" t="s">
        <v>247</v>
      </c>
      <c r="B16" s="59"/>
      <c r="C16" s="90"/>
      <c r="D16" s="16"/>
    </row>
    <row r="17" spans="1:3" ht="15" customHeight="1" x14ac:dyDescent="0.2">
      <c r="A17" s="22" t="s">
        <v>86</v>
      </c>
      <c r="B17" s="22" t="s">
        <v>248</v>
      </c>
      <c r="C17" s="91" t="s">
        <v>222</v>
      </c>
    </row>
    <row r="18" spans="1:3" ht="15" customHeight="1" x14ac:dyDescent="0.2">
      <c r="A18" s="13" t="s">
        <v>99</v>
      </c>
      <c r="B18" s="60" t="s">
        <v>225</v>
      </c>
      <c r="C18" s="92">
        <f t="shared" ref="C18:C23" si="0">VLOOKUP(B18,$A$6:$B$14,2,FALSE())</f>
        <v>0.01</v>
      </c>
    </row>
    <row r="19" spans="1:3" ht="15" customHeight="1" x14ac:dyDescent="0.2">
      <c r="A19" s="13" t="s">
        <v>100</v>
      </c>
      <c r="B19" s="60" t="s">
        <v>225</v>
      </c>
      <c r="C19" s="92">
        <f t="shared" si="0"/>
        <v>0.01</v>
      </c>
    </row>
    <row r="20" spans="1:3" ht="15" customHeight="1" x14ac:dyDescent="0.2">
      <c r="A20" s="13" t="s">
        <v>101</v>
      </c>
      <c r="B20" s="60" t="s">
        <v>225</v>
      </c>
      <c r="C20" s="92">
        <f t="shared" si="0"/>
        <v>0.01</v>
      </c>
    </row>
    <row r="21" spans="1:3" x14ac:dyDescent="0.2">
      <c r="A21" s="13" t="s">
        <v>102</v>
      </c>
      <c r="B21" s="60" t="s">
        <v>225</v>
      </c>
      <c r="C21" s="92">
        <f t="shared" si="0"/>
        <v>0.01</v>
      </c>
    </row>
    <row r="22" spans="1:3" x14ac:dyDescent="0.2">
      <c r="A22" s="13" t="s">
        <v>103</v>
      </c>
      <c r="B22" s="60" t="s">
        <v>231</v>
      </c>
      <c r="C22" s="92">
        <f t="shared" si="0"/>
        <v>0.1</v>
      </c>
    </row>
    <row r="23" spans="1:3" x14ac:dyDescent="0.2">
      <c r="A23" s="13" t="s">
        <v>126</v>
      </c>
      <c r="B23" s="60" t="s">
        <v>231</v>
      </c>
      <c r="C23" s="92">
        <f t="shared" si="0"/>
        <v>0.1</v>
      </c>
    </row>
  </sheetData>
  <dataValidations count="1">
    <dataValidation type="list" allowBlank="1" errorTitle="Invalid vendor" error="Pick a vendor from the list" promptTitle="Vendor" prompt="Select a vendor" sqref="B18:B23" xr:uid="{00000000-0002-0000-0400-000000000000}">
      <formula1>$A$6:$A$14</formula1>
      <formula2>0</formula2>
    </dataValidation>
  </dataValidations>
  <hyperlinks>
    <hyperlink ref="E7" r:id="rId1" xr:uid="{00000000-0004-0000-0400-000000000000}"/>
    <hyperlink ref="E8" r:id="rId2" xr:uid="{00000000-0004-0000-0400-000001000000}"/>
    <hyperlink ref="E11" r:id="rId3" xr:uid="{00000000-0004-0000-0400-000002000000}"/>
  </hyperlinks>
  <pageMargins left="0.75" right="0.75" top="1" bottom="1" header="0.511811023622047" footer="0.511811023622047"/>
  <pageSetup paperSize="9" orientation="portrait" horizontalDpi="300" verticalDpi="300"/>
  <legacyDrawing r:id="rId4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E35"/>
  <sheetViews>
    <sheetView zoomScaleNormal="100" workbookViewId="0">
      <selection activeCell="B34" sqref="B34"/>
    </sheetView>
  </sheetViews>
  <sheetFormatPr baseColWidth="10" defaultColWidth="8.6640625" defaultRowHeight="15" x14ac:dyDescent="0.2"/>
  <cols>
    <col min="1" max="1" width="30" customWidth="1"/>
    <col min="2" max="2" width="15" customWidth="1"/>
    <col min="3" max="3" width="15" style="85" customWidth="1"/>
    <col min="4" max="4" width="40" customWidth="1"/>
    <col min="5" max="5" width="42" customWidth="1"/>
  </cols>
  <sheetData>
    <row r="1" spans="1:5" ht="15" customHeight="1" x14ac:dyDescent="0.2">
      <c r="A1" s="2" t="s">
        <v>249</v>
      </c>
    </row>
    <row r="2" spans="1:5" ht="15" customHeight="1" x14ac:dyDescent="0.2">
      <c r="A2" s="30" t="s">
        <v>250</v>
      </c>
    </row>
    <row r="4" spans="1:5" ht="15" customHeight="1" x14ac:dyDescent="0.2">
      <c r="A4" s="1" t="s">
        <v>251</v>
      </c>
      <c r="B4" s="16"/>
      <c r="C4" s="86"/>
      <c r="D4" s="16"/>
    </row>
    <row r="5" spans="1:5" ht="15" customHeight="1" x14ac:dyDescent="0.2">
      <c r="A5" s="22" t="s">
        <v>221</v>
      </c>
      <c r="B5" s="22" t="s">
        <v>222</v>
      </c>
      <c r="C5" s="87" t="s">
        <v>223</v>
      </c>
      <c r="D5" s="22" t="s">
        <v>224</v>
      </c>
    </row>
    <row r="6" spans="1:5" ht="15" customHeight="1" x14ac:dyDescent="0.2">
      <c r="A6" s="3" t="s">
        <v>252</v>
      </c>
      <c r="B6" s="56">
        <v>8.3000000000000001E-3</v>
      </c>
      <c r="C6" s="88" t="s">
        <v>226</v>
      </c>
      <c r="D6" s="33" t="s">
        <v>253</v>
      </c>
      <c r="E6" s="58" t="s">
        <v>254</v>
      </c>
    </row>
    <row r="7" spans="1:5" ht="15" customHeight="1" x14ac:dyDescent="0.2">
      <c r="A7" s="3" t="s">
        <v>255</v>
      </c>
      <c r="B7" s="56">
        <v>4.1999999999999997E-3</v>
      </c>
      <c r="C7" s="88" t="s">
        <v>226</v>
      </c>
      <c r="D7" s="33" t="s">
        <v>256</v>
      </c>
      <c r="E7" s="58" t="s">
        <v>257</v>
      </c>
    </row>
    <row r="8" spans="1:5" ht="15" customHeight="1" x14ac:dyDescent="0.2">
      <c r="A8" s="3" t="s">
        <v>258</v>
      </c>
      <c r="B8" s="56">
        <v>6.0000000000000001E-3</v>
      </c>
      <c r="C8" s="88" t="s">
        <v>226</v>
      </c>
      <c r="D8" s="33" t="s">
        <v>259</v>
      </c>
      <c r="E8" s="58" t="s">
        <v>257</v>
      </c>
    </row>
    <row r="9" spans="1:5" ht="15" customHeight="1" x14ac:dyDescent="0.2">
      <c r="A9" s="3" t="s">
        <v>260</v>
      </c>
      <c r="B9" s="56">
        <v>3.0000000000000001E-3</v>
      </c>
      <c r="C9" s="88" t="s">
        <v>226</v>
      </c>
      <c r="D9" s="33" t="s">
        <v>261</v>
      </c>
    </row>
    <row r="10" spans="1:5" ht="15" customHeight="1" x14ac:dyDescent="0.2">
      <c r="A10" s="3" t="s">
        <v>245</v>
      </c>
      <c r="B10" s="56">
        <v>2E-3</v>
      </c>
      <c r="C10" s="88" t="s">
        <v>226</v>
      </c>
      <c r="D10" s="57" t="s">
        <v>262</v>
      </c>
    </row>
    <row r="11" spans="1:5" ht="15" customHeight="1" x14ac:dyDescent="0.2">
      <c r="A11" s="3"/>
      <c r="B11" s="56"/>
      <c r="C11" s="88"/>
      <c r="D11" s="3"/>
    </row>
    <row r="12" spans="1:5" ht="15" customHeight="1" x14ac:dyDescent="0.2">
      <c r="A12" s="1" t="s">
        <v>263</v>
      </c>
      <c r="B12" s="16"/>
      <c r="C12" s="86"/>
      <c r="D12" s="16"/>
    </row>
    <row r="13" spans="1:5" ht="15" customHeight="1" x14ac:dyDescent="0.2">
      <c r="A13" s="22" t="s">
        <v>86</v>
      </c>
      <c r="B13" s="22" t="s">
        <v>248</v>
      </c>
      <c r="C13" s="87" t="s">
        <v>222</v>
      </c>
    </row>
    <row r="14" spans="1:5" ht="15" customHeight="1" x14ac:dyDescent="0.2">
      <c r="A14" s="13" t="s">
        <v>99</v>
      </c>
      <c r="B14" s="61" t="s">
        <v>255</v>
      </c>
      <c r="C14" s="92">
        <f t="shared" ref="C14:C19" si="0">VLOOKUP(B14,$A$6:$B$10,2,FALSE())</f>
        <v>4.1999999999999997E-3</v>
      </c>
    </row>
    <row r="15" spans="1:5" ht="15" customHeight="1" x14ac:dyDescent="0.2">
      <c r="A15" s="13" t="s">
        <v>100</v>
      </c>
      <c r="B15" s="60" t="s">
        <v>255</v>
      </c>
      <c r="C15" s="92">
        <f t="shared" si="0"/>
        <v>4.1999999999999997E-3</v>
      </c>
    </row>
    <row r="16" spans="1:5" ht="15" customHeight="1" x14ac:dyDescent="0.2">
      <c r="A16" s="13" t="s">
        <v>101</v>
      </c>
      <c r="B16" s="60" t="s">
        <v>255</v>
      </c>
      <c r="C16" s="92">
        <f t="shared" si="0"/>
        <v>4.1999999999999997E-3</v>
      </c>
    </row>
    <row r="17" spans="1:5" x14ac:dyDescent="0.2">
      <c r="A17" s="13" t="s">
        <v>102</v>
      </c>
      <c r="B17" s="60" t="s">
        <v>255</v>
      </c>
      <c r="C17" s="92">
        <f t="shared" si="0"/>
        <v>4.1999999999999997E-3</v>
      </c>
    </row>
    <row r="18" spans="1:5" ht="15" customHeight="1" x14ac:dyDescent="0.2">
      <c r="A18" s="13" t="s">
        <v>103</v>
      </c>
      <c r="B18" s="60" t="s">
        <v>255</v>
      </c>
      <c r="C18" s="92">
        <f t="shared" si="0"/>
        <v>4.1999999999999997E-3</v>
      </c>
      <c r="D18" s="16"/>
    </row>
    <row r="19" spans="1:5" ht="15" customHeight="1" x14ac:dyDescent="0.2">
      <c r="A19" s="13" t="s">
        <v>126</v>
      </c>
      <c r="B19" s="60" t="s">
        <v>255</v>
      </c>
      <c r="C19" s="92">
        <f t="shared" si="0"/>
        <v>4.1999999999999997E-3</v>
      </c>
      <c r="D19" s="22"/>
    </row>
    <row r="20" spans="1:5" ht="15" customHeight="1" x14ac:dyDescent="0.2">
      <c r="A20" s="1" t="s">
        <v>264</v>
      </c>
      <c r="B20" s="16"/>
      <c r="C20" s="86"/>
      <c r="D20" s="16"/>
    </row>
    <row r="21" spans="1:5" ht="15" customHeight="1" x14ac:dyDescent="0.2">
      <c r="A21" s="22" t="s">
        <v>221</v>
      </c>
      <c r="B21" s="22" t="s">
        <v>222</v>
      </c>
      <c r="C21" s="87" t="s">
        <v>223</v>
      </c>
      <c r="D21" s="22" t="s">
        <v>224</v>
      </c>
    </row>
    <row r="22" spans="1:5" ht="15" customHeight="1" x14ac:dyDescent="0.2">
      <c r="A22" s="3" t="s">
        <v>265</v>
      </c>
      <c r="B22" s="56">
        <v>6.7499999999999999E-3</v>
      </c>
      <c r="C22" s="88" t="s">
        <v>226</v>
      </c>
      <c r="D22" s="33" t="s">
        <v>266</v>
      </c>
      <c r="E22" s="58" t="s">
        <v>254</v>
      </c>
    </row>
    <row r="23" spans="1:5" ht="15" customHeight="1" x14ac:dyDescent="0.2">
      <c r="A23" s="3" t="s">
        <v>267</v>
      </c>
      <c r="B23" s="56">
        <v>1.4999999999999999E-2</v>
      </c>
      <c r="C23" s="88" t="s">
        <v>226</v>
      </c>
      <c r="D23" s="33" t="s">
        <v>268</v>
      </c>
      <c r="E23" s="58" t="s">
        <v>269</v>
      </c>
    </row>
    <row r="24" spans="1:5" ht="15" customHeight="1" x14ac:dyDescent="0.2">
      <c r="A24" s="3" t="s">
        <v>270</v>
      </c>
      <c r="B24" s="56">
        <v>0.05</v>
      </c>
      <c r="C24" s="88" t="s">
        <v>226</v>
      </c>
      <c r="D24" s="33" t="s">
        <v>271</v>
      </c>
      <c r="E24" s="58" t="s">
        <v>272</v>
      </c>
    </row>
    <row r="25" spans="1:5" x14ac:dyDescent="0.2">
      <c r="A25" s="3" t="s">
        <v>273</v>
      </c>
      <c r="B25" s="56">
        <v>0.17</v>
      </c>
      <c r="C25" s="88" t="s">
        <v>226</v>
      </c>
      <c r="D25" s="33" t="s">
        <v>274</v>
      </c>
      <c r="E25" s="58" t="s">
        <v>272</v>
      </c>
    </row>
    <row r="26" spans="1:5" ht="15" customHeight="1" x14ac:dyDescent="0.2">
      <c r="A26" s="3" t="s">
        <v>245</v>
      </c>
      <c r="B26" s="56">
        <v>0.01</v>
      </c>
      <c r="C26" s="88" t="s">
        <v>226</v>
      </c>
      <c r="D26" s="57" t="s">
        <v>262</v>
      </c>
    </row>
    <row r="27" spans="1:5" ht="15" customHeight="1" x14ac:dyDescent="0.2">
      <c r="A27" s="22"/>
      <c r="B27" s="22"/>
      <c r="C27" s="87"/>
    </row>
    <row r="28" spans="1:5" ht="15" customHeight="1" x14ac:dyDescent="0.2">
      <c r="A28" s="1" t="s">
        <v>275</v>
      </c>
      <c r="B28" s="16"/>
      <c r="C28" s="86"/>
      <c r="D28" s="16"/>
    </row>
    <row r="29" spans="1:5" ht="15" customHeight="1" x14ac:dyDescent="0.2">
      <c r="A29" s="22" t="s">
        <v>86</v>
      </c>
      <c r="B29" s="22" t="s">
        <v>248</v>
      </c>
      <c r="C29" s="87" t="s">
        <v>222</v>
      </c>
    </row>
    <row r="30" spans="1:5" ht="15" customHeight="1" x14ac:dyDescent="0.2">
      <c r="A30" s="13" t="s">
        <v>99</v>
      </c>
      <c r="B30" s="60" t="s">
        <v>265</v>
      </c>
      <c r="C30" s="92">
        <f t="shared" ref="C30:C35" si="1">VLOOKUP(B30,$A$22:$B$26,2,FALSE())</f>
        <v>6.7499999999999999E-3</v>
      </c>
    </row>
    <row r="31" spans="1:5" x14ac:dyDescent="0.2">
      <c r="A31" s="13" t="s">
        <v>100</v>
      </c>
      <c r="B31" s="60" t="s">
        <v>265</v>
      </c>
      <c r="C31" s="92">
        <f t="shared" si="1"/>
        <v>6.7499999999999999E-3</v>
      </c>
    </row>
    <row r="32" spans="1:5" x14ac:dyDescent="0.2">
      <c r="A32" s="13" t="s">
        <v>101</v>
      </c>
      <c r="B32" s="60" t="s">
        <v>265</v>
      </c>
      <c r="C32" s="92">
        <f t="shared" si="1"/>
        <v>6.7499999999999999E-3</v>
      </c>
    </row>
    <row r="33" spans="1:3" x14ac:dyDescent="0.2">
      <c r="A33" s="13" t="s">
        <v>102</v>
      </c>
      <c r="B33" s="60" t="s">
        <v>265</v>
      </c>
      <c r="C33" s="92">
        <f t="shared" si="1"/>
        <v>6.7499999999999999E-3</v>
      </c>
    </row>
    <row r="34" spans="1:3" x14ac:dyDescent="0.2">
      <c r="A34" s="13" t="s">
        <v>103</v>
      </c>
      <c r="B34" s="60" t="s">
        <v>265</v>
      </c>
      <c r="C34" s="92">
        <f t="shared" si="1"/>
        <v>6.7499999999999999E-3</v>
      </c>
    </row>
    <row r="35" spans="1:3" x14ac:dyDescent="0.2">
      <c r="A35" s="13" t="s">
        <v>126</v>
      </c>
      <c r="B35" s="60" t="s">
        <v>265</v>
      </c>
      <c r="C35" s="92">
        <f t="shared" si="1"/>
        <v>6.7499999999999999E-3</v>
      </c>
    </row>
  </sheetData>
  <dataValidations count="2">
    <dataValidation type="list" allowBlank="1" errorTitle="Invalid vendor" error="Pick a vendor from the list" promptTitle="Vendor" prompt="Select a vendor" sqref="B14:B16" xr:uid="{00000000-0002-0000-0500-000000000000}">
      <formula1>$A$6:$A$10</formula1>
      <formula2>0</formula2>
    </dataValidation>
    <dataValidation type="list" allowBlank="1" errorTitle="Invalid vendor" error="Pick a vendor from the list" promptTitle="Vendor" prompt="Select a vendor" sqref="B28:B35" xr:uid="{00000000-0002-0000-0500-000001000000}">
      <formula1>$A$20:$A$24</formula1>
      <formula2>0</formula2>
    </dataValidation>
  </dataValidations>
  <hyperlinks>
    <hyperlink ref="E6" r:id="rId1" xr:uid="{00000000-0004-0000-0500-000000000000}"/>
    <hyperlink ref="E7" r:id="rId2" xr:uid="{00000000-0004-0000-0500-000001000000}"/>
    <hyperlink ref="E8" r:id="rId3" xr:uid="{00000000-0004-0000-0500-000002000000}"/>
    <hyperlink ref="E22" r:id="rId4" xr:uid="{00000000-0004-0000-0500-000003000000}"/>
    <hyperlink ref="E23" r:id="rId5" xr:uid="{00000000-0004-0000-0500-000004000000}"/>
  </hyperlinks>
  <pageMargins left="0.75" right="0.75" top="1" bottom="1" header="0.511811023622047" footer="0.511811023622047"/>
  <pageSetup paperSize="9" orientation="portrait" horizontalDpi="300" verticalDpi="300"/>
  <legacyDrawing r:id="rId6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F18"/>
  <sheetViews>
    <sheetView zoomScaleNormal="100" workbookViewId="0">
      <selection activeCell="C1" sqref="C1:C1048576"/>
    </sheetView>
  </sheetViews>
  <sheetFormatPr baseColWidth="10" defaultColWidth="8.6640625" defaultRowHeight="15" x14ac:dyDescent="0.2"/>
  <cols>
    <col min="1" max="1" width="30" customWidth="1"/>
    <col min="2" max="2" width="14" customWidth="1"/>
    <col min="3" max="3" width="14" style="93" customWidth="1"/>
    <col min="4" max="5" width="42" customWidth="1"/>
  </cols>
  <sheetData>
    <row r="1" spans="1:6" ht="15" customHeight="1" x14ac:dyDescent="0.2">
      <c r="A1" s="62" t="s">
        <v>276</v>
      </c>
    </row>
    <row r="2" spans="1:6" ht="15" customHeight="1" x14ac:dyDescent="0.2">
      <c r="A2" s="63" t="s">
        <v>277</v>
      </c>
    </row>
    <row r="4" spans="1:6" ht="15" customHeight="1" x14ac:dyDescent="0.2">
      <c r="A4" s="31" t="s">
        <v>220</v>
      </c>
      <c r="B4" s="16"/>
      <c r="C4" s="94"/>
      <c r="D4" s="16"/>
    </row>
    <row r="5" spans="1:6" ht="15" customHeight="1" x14ac:dyDescent="0.2">
      <c r="A5" s="64" t="s">
        <v>221</v>
      </c>
      <c r="B5" s="64" t="s">
        <v>222</v>
      </c>
      <c r="C5" s="95" t="s">
        <v>223</v>
      </c>
      <c r="D5" s="64" t="s">
        <v>224</v>
      </c>
    </row>
    <row r="6" spans="1:6" ht="15" customHeight="1" x14ac:dyDescent="0.2">
      <c r="A6" s="34" t="s">
        <v>278</v>
      </c>
      <c r="B6" s="65">
        <v>5.0000000000000001E-3</v>
      </c>
      <c r="C6" s="96" t="s">
        <v>226</v>
      </c>
      <c r="D6" s="33" t="s">
        <v>279</v>
      </c>
      <c r="E6" s="58" t="s">
        <v>254</v>
      </c>
    </row>
    <row r="7" spans="1:6" ht="15" customHeight="1" x14ac:dyDescent="0.2">
      <c r="A7" s="34" t="s">
        <v>280</v>
      </c>
      <c r="B7" s="65">
        <v>2.5000000000000001E-3</v>
      </c>
      <c r="C7" s="96" t="s">
        <v>226</v>
      </c>
      <c r="D7" s="33" t="s">
        <v>281</v>
      </c>
      <c r="E7" s="58" t="s">
        <v>254</v>
      </c>
    </row>
    <row r="8" spans="1:6" ht="15" customHeight="1" x14ac:dyDescent="0.2">
      <c r="A8" s="34" t="s">
        <v>282</v>
      </c>
      <c r="B8" s="65">
        <v>0.02</v>
      </c>
      <c r="C8" s="96" t="s">
        <v>226</v>
      </c>
      <c r="D8" s="33" t="s">
        <v>283</v>
      </c>
      <c r="E8" s="58" t="s">
        <v>284</v>
      </c>
      <c r="F8" t="s">
        <v>285</v>
      </c>
    </row>
    <row r="9" spans="1:6" ht="15" customHeight="1" x14ac:dyDescent="0.2">
      <c r="A9" s="34" t="s">
        <v>245</v>
      </c>
      <c r="B9" s="65">
        <v>1E-3</v>
      </c>
      <c r="C9" s="96" t="s">
        <v>226</v>
      </c>
      <c r="D9" s="33" t="s">
        <v>262</v>
      </c>
    </row>
    <row r="10" spans="1:6" ht="15" customHeight="1" x14ac:dyDescent="0.2">
      <c r="A10" s="3"/>
      <c r="B10" s="56"/>
      <c r="C10" s="97"/>
      <c r="D10" s="3"/>
    </row>
    <row r="11" spans="1:6" ht="15" customHeight="1" x14ac:dyDescent="0.2">
      <c r="A11" s="31" t="s">
        <v>247</v>
      </c>
      <c r="B11" s="16"/>
      <c r="C11" s="94"/>
      <c r="D11" s="16"/>
    </row>
    <row r="12" spans="1:6" ht="15" customHeight="1" x14ac:dyDescent="0.2">
      <c r="A12" s="64" t="s">
        <v>86</v>
      </c>
      <c r="B12" s="64" t="s">
        <v>248</v>
      </c>
      <c r="C12" s="95" t="s">
        <v>222</v>
      </c>
    </row>
    <row r="13" spans="1:6" ht="15" customHeight="1" x14ac:dyDescent="0.2">
      <c r="A13" s="66" t="s">
        <v>99</v>
      </c>
      <c r="B13" s="67" t="s">
        <v>278</v>
      </c>
      <c r="C13" s="98">
        <f t="shared" ref="C13:C18" si="0">VLOOKUP(B13,$A$6:$B$9,2,FALSE())</f>
        <v>5.0000000000000001E-3</v>
      </c>
    </row>
    <row r="14" spans="1:6" ht="15" customHeight="1" x14ac:dyDescent="0.2">
      <c r="A14" s="66" t="s">
        <v>100</v>
      </c>
      <c r="B14" s="68" t="s">
        <v>278</v>
      </c>
      <c r="C14" s="98">
        <f t="shared" si="0"/>
        <v>5.0000000000000001E-3</v>
      </c>
    </row>
    <row r="15" spans="1:6" ht="15" customHeight="1" x14ac:dyDescent="0.2">
      <c r="A15" s="66" t="s">
        <v>101</v>
      </c>
      <c r="B15" s="68" t="s">
        <v>278</v>
      </c>
      <c r="C15" s="98">
        <f t="shared" si="0"/>
        <v>5.0000000000000001E-3</v>
      </c>
    </row>
    <row r="16" spans="1:6" x14ac:dyDescent="0.2">
      <c r="A16" s="66" t="s">
        <v>102</v>
      </c>
      <c r="B16" s="68" t="s">
        <v>278</v>
      </c>
      <c r="C16" s="98">
        <f t="shared" si="0"/>
        <v>5.0000000000000001E-3</v>
      </c>
    </row>
    <row r="17" spans="1:3" x14ac:dyDescent="0.2">
      <c r="A17" s="66" t="s">
        <v>103</v>
      </c>
      <c r="B17" s="68" t="s">
        <v>278</v>
      </c>
      <c r="C17" s="98">
        <f t="shared" si="0"/>
        <v>5.0000000000000001E-3</v>
      </c>
    </row>
    <row r="18" spans="1:3" x14ac:dyDescent="0.2">
      <c r="A18" s="66" t="s">
        <v>126</v>
      </c>
      <c r="B18" s="68" t="s">
        <v>278</v>
      </c>
      <c r="C18" s="98">
        <f t="shared" si="0"/>
        <v>5.0000000000000001E-3</v>
      </c>
    </row>
  </sheetData>
  <dataValidations count="1">
    <dataValidation type="list" allowBlank="1" sqref="B13:B15" xr:uid="{00000000-0002-0000-0600-000000000000}">
      <formula1>$A$6:$A$9</formula1>
      <formula2>0</formula2>
    </dataValidation>
  </dataValidations>
  <hyperlinks>
    <hyperlink ref="E6" r:id="rId1" xr:uid="{00000000-0004-0000-0600-000000000000}"/>
    <hyperlink ref="E7" r:id="rId2" xr:uid="{00000000-0004-0000-0600-000001000000}"/>
    <hyperlink ref="E8" r:id="rId3" xr:uid="{00000000-0004-0000-0600-000002000000}"/>
  </hyperlinks>
  <pageMargins left="0.75" right="0.75" top="1" bottom="1" header="0.511811023622047" footer="0.511811023622047"/>
  <pageSetup paperSize="9" orientation="portrait" horizontalDpi="300" verticalDpi="300"/>
  <legacyDrawing r:id="rId4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E19"/>
  <sheetViews>
    <sheetView zoomScaleNormal="100" workbookViewId="0">
      <selection activeCell="C3" sqref="C1:C1048576"/>
    </sheetView>
  </sheetViews>
  <sheetFormatPr baseColWidth="10" defaultColWidth="8.6640625" defaultRowHeight="15" x14ac:dyDescent="0.2"/>
  <cols>
    <col min="1" max="1" width="30" customWidth="1"/>
    <col min="2" max="2" width="14" customWidth="1"/>
    <col min="3" max="3" width="14" style="85" customWidth="1"/>
    <col min="4" max="4" width="50" customWidth="1"/>
    <col min="5" max="5" width="42" customWidth="1"/>
  </cols>
  <sheetData>
    <row r="1" spans="1:5" ht="15" customHeight="1" x14ac:dyDescent="0.2">
      <c r="A1" s="99" t="s">
        <v>286</v>
      </c>
      <c r="B1" s="100"/>
      <c r="C1" s="100"/>
      <c r="D1" s="100"/>
    </row>
    <row r="2" spans="1:5" ht="15" customHeight="1" x14ac:dyDescent="0.2">
      <c r="A2" s="101" t="s">
        <v>287</v>
      </c>
      <c r="B2" s="100"/>
      <c r="C2" s="100"/>
      <c r="D2" s="100"/>
    </row>
    <row r="4" spans="1:5" ht="15" customHeight="1" x14ac:dyDescent="0.2">
      <c r="A4" s="102" t="s">
        <v>220</v>
      </c>
      <c r="B4" s="100"/>
      <c r="C4" s="100"/>
      <c r="D4" s="100"/>
    </row>
    <row r="5" spans="1:5" ht="15" customHeight="1" x14ac:dyDescent="0.2">
      <c r="A5" s="22" t="s">
        <v>221</v>
      </c>
      <c r="B5" s="22" t="s">
        <v>222</v>
      </c>
      <c r="C5" s="87" t="s">
        <v>223</v>
      </c>
      <c r="D5" s="22" t="s">
        <v>224</v>
      </c>
    </row>
    <row r="6" spans="1:5" ht="15" customHeight="1" x14ac:dyDescent="0.2">
      <c r="A6" t="s">
        <v>288</v>
      </c>
      <c r="B6" s="56">
        <v>2E-3</v>
      </c>
      <c r="C6" s="85" t="s">
        <v>289</v>
      </c>
      <c r="D6" s="33" t="s">
        <v>290</v>
      </c>
      <c r="E6" s="58" t="s">
        <v>291</v>
      </c>
    </row>
    <row r="7" spans="1:5" ht="15" customHeight="1" x14ac:dyDescent="0.2">
      <c r="A7" t="s">
        <v>292</v>
      </c>
      <c r="B7" s="56">
        <v>6.0000000000000001E-3</v>
      </c>
      <c r="C7" s="85" t="s">
        <v>289</v>
      </c>
      <c r="D7" s="33" t="s">
        <v>293</v>
      </c>
      <c r="E7" s="58" t="s">
        <v>291</v>
      </c>
    </row>
    <row r="8" spans="1:5" ht="15" customHeight="1" x14ac:dyDescent="0.2">
      <c r="A8" t="s">
        <v>294</v>
      </c>
      <c r="B8" s="56">
        <v>0.01</v>
      </c>
      <c r="C8" s="85" t="s">
        <v>289</v>
      </c>
      <c r="D8" s="33" t="s">
        <v>295</v>
      </c>
      <c r="E8" s="58" t="s">
        <v>291</v>
      </c>
    </row>
    <row r="9" spans="1:5" ht="15" customHeight="1" x14ac:dyDescent="0.2">
      <c r="A9" t="s">
        <v>296</v>
      </c>
      <c r="B9" s="56">
        <v>3.0000000000000001E-3</v>
      </c>
      <c r="C9" s="85" t="s">
        <v>289</v>
      </c>
      <c r="D9" t="s">
        <v>297</v>
      </c>
    </row>
    <row r="10" spans="1:5" ht="15" customHeight="1" x14ac:dyDescent="0.2">
      <c r="A10" t="s">
        <v>298</v>
      </c>
      <c r="B10" s="56">
        <v>2.9999999999999997E-4</v>
      </c>
      <c r="C10" s="85" t="s">
        <v>289</v>
      </c>
      <c r="D10" t="s">
        <v>299</v>
      </c>
    </row>
    <row r="11" spans="1:5" ht="15" customHeight="1" x14ac:dyDescent="0.2">
      <c r="A11" s="3" t="s">
        <v>245</v>
      </c>
      <c r="B11" s="56">
        <v>1E-4</v>
      </c>
      <c r="C11" s="88" t="s">
        <v>289</v>
      </c>
      <c r="D11" s="3" t="s">
        <v>300</v>
      </c>
    </row>
    <row r="12" spans="1:5" ht="15" customHeight="1" x14ac:dyDescent="0.2">
      <c r="A12" s="102" t="s">
        <v>247</v>
      </c>
      <c r="B12" s="100"/>
      <c r="C12" s="100"/>
      <c r="D12" s="100"/>
    </row>
    <row r="13" spans="1:5" ht="15" customHeight="1" x14ac:dyDescent="0.2">
      <c r="A13" s="22" t="s">
        <v>86</v>
      </c>
      <c r="B13" s="22" t="s">
        <v>248</v>
      </c>
      <c r="C13" s="87" t="s">
        <v>222</v>
      </c>
    </row>
    <row r="14" spans="1:5" ht="15" customHeight="1" x14ac:dyDescent="0.2">
      <c r="A14" s="13" t="s">
        <v>99</v>
      </c>
      <c r="B14" s="61" t="s">
        <v>288</v>
      </c>
      <c r="C14" s="92">
        <f t="shared" ref="C14:C19" si="0">VLOOKUP(B14,$A$6:$B$11,2,FALSE())</f>
        <v>2E-3</v>
      </c>
    </row>
    <row r="15" spans="1:5" ht="15" customHeight="1" x14ac:dyDescent="0.2">
      <c r="A15" s="13" t="s">
        <v>100</v>
      </c>
      <c r="B15" s="60" t="s">
        <v>292</v>
      </c>
      <c r="C15" s="92">
        <f t="shared" si="0"/>
        <v>6.0000000000000001E-3</v>
      </c>
    </row>
    <row r="16" spans="1:5" ht="15" customHeight="1" x14ac:dyDescent="0.2">
      <c r="A16" s="13" t="s">
        <v>101</v>
      </c>
      <c r="B16" s="60" t="s">
        <v>292</v>
      </c>
      <c r="C16" s="92">
        <f t="shared" si="0"/>
        <v>6.0000000000000001E-3</v>
      </c>
    </row>
    <row r="17" spans="1:3" x14ac:dyDescent="0.2">
      <c r="A17" s="13" t="s">
        <v>102</v>
      </c>
      <c r="B17" s="60" t="s">
        <v>292</v>
      </c>
      <c r="C17" s="92">
        <f t="shared" si="0"/>
        <v>6.0000000000000001E-3</v>
      </c>
    </row>
    <row r="18" spans="1:3" x14ac:dyDescent="0.2">
      <c r="A18" s="13" t="s">
        <v>103</v>
      </c>
      <c r="B18" s="60" t="s">
        <v>292</v>
      </c>
      <c r="C18" s="92">
        <f t="shared" si="0"/>
        <v>6.0000000000000001E-3</v>
      </c>
    </row>
    <row r="19" spans="1:3" x14ac:dyDescent="0.2">
      <c r="A19" s="13" t="s">
        <v>126</v>
      </c>
      <c r="B19" s="60" t="s">
        <v>292</v>
      </c>
      <c r="C19" s="92">
        <f t="shared" si="0"/>
        <v>6.0000000000000001E-3</v>
      </c>
    </row>
  </sheetData>
  <mergeCells count="4">
    <mergeCell ref="A1:D1"/>
    <mergeCell ref="A12:D12"/>
    <mergeCell ref="A4:D4"/>
    <mergeCell ref="A2:D2"/>
  </mergeCells>
  <dataValidations count="1">
    <dataValidation type="list" allowBlank="1" errorTitle="Invalid vendor" error="Pick a vendor from the list" promptTitle="Vendor" prompt="Select a vendor" sqref="B14:B16" xr:uid="{00000000-0002-0000-0700-000000000000}">
      <formula1>$A$6:$A$11</formula1>
      <formula2>0</formula2>
    </dataValidation>
  </dataValidations>
  <hyperlinks>
    <hyperlink ref="E6" r:id="rId1" xr:uid="{00000000-0004-0000-0700-000000000000}"/>
    <hyperlink ref="E7" r:id="rId2" xr:uid="{00000000-0004-0000-0700-000001000000}"/>
    <hyperlink ref="E8" r:id="rId3" xr:uid="{00000000-0004-0000-0700-000002000000}"/>
  </hyperlinks>
  <pageMargins left="0.75" right="0.75" top="1" bottom="1" header="0.511811023622047" footer="0.511811023622047"/>
  <pageSetup paperSize="9" orientation="portrait" horizontalDpi="300" verticalDpi="300"/>
  <legacyDrawing r:id="rId4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C29"/>
  <sheetViews>
    <sheetView zoomScaleNormal="100" workbookViewId="0">
      <selection sqref="A1:C1"/>
    </sheetView>
  </sheetViews>
  <sheetFormatPr baseColWidth="10" defaultColWidth="8.6640625" defaultRowHeight="15" x14ac:dyDescent="0.2"/>
  <cols>
    <col min="1" max="1" width="28" customWidth="1"/>
    <col min="2" max="2" width="26" customWidth="1"/>
    <col min="3" max="3" width="60" customWidth="1"/>
  </cols>
  <sheetData>
    <row r="1" spans="1:3" ht="15" customHeight="1" x14ac:dyDescent="0.2">
      <c r="A1" s="99" t="s">
        <v>301</v>
      </c>
      <c r="B1" s="100"/>
      <c r="C1" s="100"/>
    </row>
    <row r="3" spans="1:3" ht="15" customHeight="1" x14ac:dyDescent="0.2">
      <c r="A3" s="1" t="s">
        <v>302</v>
      </c>
      <c r="B3" s="1" t="s">
        <v>303</v>
      </c>
      <c r="C3" s="1" t="s">
        <v>304</v>
      </c>
    </row>
    <row r="4" spans="1:3" ht="15" customHeight="1" x14ac:dyDescent="0.2">
      <c r="A4" t="s">
        <v>305</v>
      </c>
      <c r="B4" t="s">
        <v>306</v>
      </c>
      <c r="C4" t="s">
        <v>307</v>
      </c>
    </row>
    <row r="5" spans="1:3" ht="15" customHeight="1" x14ac:dyDescent="0.2">
      <c r="A5" t="s">
        <v>308</v>
      </c>
      <c r="B5" t="s">
        <v>309</v>
      </c>
      <c r="C5" t="s">
        <v>310</v>
      </c>
    </row>
    <row r="6" spans="1:3" ht="15" customHeight="1" x14ac:dyDescent="0.2">
      <c r="A6" t="s">
        <v>311</v>
      </c>
      <c r="B6" t="s">
        <v>312</v>
      </c>
      <c r="C6" t="s">
        <v>313</v>
      </c>
    </row>
    <row r="7" spans="1:3" ht="15" customHeight="1" x14ac:dyDescent="0.2">
      <c r="A7" t="s">
        <v>314</v>
      </c>
      <c r="B7" t="s">
        <v>315</v>
      </c>
      <c r="C7" t="s">
        <v>316</v>
      </c>
    </row>
    <row r="8" spans="1:3" ht="15" customHeight="1" x14ac:dyDescent="0.2">
      <c r="A8" t="s">
        <v>317</v>
      </c>
      <c r="B8" t="s">
        <v>318</v>
      </c>
      <c r="C8" t="s">
        <v>319</v>
      </c>
    </row>
    <row r="9" spans="1:3" ht="15" customHeight="1" x14ac:dyDescent="0.2">
      <c r="A9" t="s">
        <v>320</v>
      </c>
      <c r="B9" t="s">
        <v>321</v>
      </c>
      <c r="C9" t="s">
        <v>322</v>
      </c>
    </row>
    <row r="10" spans="1:3" ht="15" customHeight="1" x14ac:dyDescent="0.2">
      <c r="A10" t="s">
        <v>323</v>
      </c>
      <c r="B10" t="s">
        <v>324</v>
      </c>
      <c r="C10" t="s">
        <v>325</v>
      </c>
    </row>
    <row r="11" spans="1:3" ht="15" customHeight="1" x14ac:dyDescent="0.2">
      <c r="A11" t="s">
        <v>326</v>
      </c>
      <c r="B11" t="s">
        <v>327</v>
      </c>
      <c r="C11" t="s">
        <v>328</v>
      </c>
    </row>
    <row r="12" spans="1:3" ht="15" customHeight="1" x14ac:dyDescent="0.2">
      <c r="A12" t="s">
        <v>329</v>
      </c>
      <c r="B12" t="s">
        <v>330</v>
      </c>
      <c r="C12" t="s">
        <v>331</v>
      </c>
    </row>
    <row r="13" spans="1:3" ht="15" customHeight="1" x14ac:dyDescent="0.2">
      <c r="A13" t="s">
        <v>332</v>
      </c>
      <c r="B13" t="s">
        <v>333</v>
      </c>
      <c r="C13" t="s">
        <v>334</v>
      </c>
    </row>
    <row r="14" spans="1:3" ht="15" customHeight="1" x14ac:dyDescent="0.2">
      <c r="A14" t="s">
        <v>335</v>
      </c>
      <c r="B14" t="s">
        <v>336</v>
      </c>
      <c r="C14" t="s">
        <v>337</v>
      </c>
    </row>
    <row r="15" spans="1:3" ht="15" customHeight="1" x14ac:dyDescent="0.2">
      <c r="A15" t="s">
        <v>338</v>
      </c>
      <c r="B15" t="s">
        <v>339</v>
      </c>
      <c r="C15" t="s">
        <v>340</v>
      </c>
    </row>
    <row r="16" spans="1:3" ht="15" customHeight="1" x14ac:dyDescent="0.2">
      <c r="A16" t="s">
        <v>341</v>
      </c>
      <c r="B16" t="s">
        <v>342</v>
      </c>
      <c r="C16" t="s">
        <v>343</v>
      </c>
    </row>
    <row r="17" spans="1:3" ht="15" customHeight="1" x14ac:dyDescent="0.2">
      <c r="A17" t="s">
        <v>344</v>
      </c>
      <c r="B17" t="s">
        <v>345</v>
      </c>
      <c r="C17" t="s">
        <v>346</v>
      </c>
    </row>
    <row r="18" spans="1:3" ht="15" customHeight="1" x14ac:dyDescent="0.2">
      <c r="A18" t="s">
        <v>347</v>
      </c>
      <c r="B18" t="s">
        <v>348</v>
      </c>
      <c r="C18" t="s">
        <v>349</v>
      </c>
    </row>
    <row r="19" spans="1:3" ht="15" customHeight="1" x14ac:dyDescent="0.2">
      <c r="A19" t="s">
        <v>350</v>
      </c>
      <c r="B19" t="s">
        <v>351</v>
      </c>
      <c r="C19" t="s">
        <v>352</v>
      </c>
    </row>
    <row r="20" spans="1:3" ht="15" customHeight="1" x14ac:dyDescent="0.2">
      <c r="A20" t="s">
        <v>353</v>
      </c>
      <c r="B20" t="s">
        <v>354</v>
      </c>
      <c r="C20" t="s">
        <v>72</v>
      </c>
    </row>
    <row r="21" spans="1:3" ht="15" customHeight="1" x14ac:dyDescent="0.2">
      <c r="A21" s="69" t="s">
        <v>355</v>
      </c>
      <c r="B21" s="69" t="s">
        <v>356</v>
      </c>
      <c r="C21" s="69" t="s">
        <v>357</v>
      </c>
    </row>
    <row r="22" spans="1:3" ht="15" customHeight="1" x14ac:dyDescent="0.2">
      <c r="A22" s="69" t="s">
        <v>358</v>
      </c>
      <c r="B22" s="69" t="s">
        <v>359</v>
      </c>
      <c r="C22" s="69" t="s">
        <v>360</v>
      </c>
    </row>
    <row r="23" spans="1:3" ht="15" customHeight="1" x14ac:dyDescent="0.2">
      <c r="A23" s="69" t="s">
        <v>361</v>
      </c>
      <c r="B23" s="69" t="s">
        <v>362</v>
      </c>
      <c r="C23" s="69" t="s">
        <v>363</v>
      </c>
    </row>
    <row r="24" spans="1:3" ht="15" customHeight="1" x14ac:dyDescent="0.2">
      <c r="A24" s="69" t="s">
        <v>364</v>
      </c>
      <c r="B24" s="69" t="s">
        <v>365</v>
      </c>
      <c r="C24" s="69" t="s">
        <v>366</v>
      </c>
    </row>
    <row r="25" spans="1:3" ht="15" customHeight="1" x14ac:dyDescent="0.2">
      <c r="A25" s="69" t="s">
        <v>367</v>
      </c>
      <c r="B25" s="69" t="s">
        <v>368</v>
      </c>
      <c r="C25" s="69" t="s">
        <v>369</v>
      </c>
    </row>
    <row r="26" spans="1:3" ht="15" customHeight="1" x14ac:dyDescent="0.2">
      <c r="A26" s="69" t="s">
        <v>370</v>
      </c>
      <c r="B26" s="69" t="s">
        <v>371</v>
      </c>
      <c r="C26" s="69" t="s">
        <v>372</v>
      </c>
    </row>
    <row r="27" spans="1:3" ht="15" customHeight="1" x14ac:dyDescent="0.2">
      <c r="A27" s="69" t="s">
        <v>373</v>
      </c>
      <c r="B27" s="69" t="s">
        <v>374</v>
      </c>
      <c r="C27" s="69" t="s">
        <v>375</v>
      </c>
    </row>
    <row r="28" spans="1:3" ht="15" customHeight="1" x14ac:dyDescent="0.2">
      <c r="A28" s="69" t="s">
        <v>126</v>
      </c>
      <c r="B28" s="69" t="s">
        <v>376</v>
      </c>
      <c r="C28" s="69" t="s">
        <v>377</v>
      </c>
    </row>
    <row r="29" spans="1:3" ht="15" customHeight="1" x14ac:dyDescent="0.2">
      <c r="A29" s="69" t="s">
        <v>33</v>
      </c>
      <c r="B29" s="69" t="s">
        <v>378</v>
      </c>
      <c r="C29" s="69" t="s">
        <v>379</v>
      </c>
    </row>
  </sheetData>
  <mergeCells count="1">
    <mergeCell ref="A1:C1"/>
  </mergeCells>
  <pageMargins left="0.75" right="0.75" top="1" bottom="1" header="0.511811023622047" footer="0.511811023622047"/>
  <pageSetup paperSize="9" orientation="portrait" horizontalDpi="300" verticalDpi="300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BA2798C36CECBD43B8C93CC65FE99C9F" ma:contentTypeVersion="4" ma:contentTypeDescription="Create a new document." ma:contentTypeScope="" ma:versionID="ab4d2ebf2dc2c951495a7fe3e93f97f5">
  <xsd:schema xmlns:xsd="http://www.w3.org/2001/XMLSchema" xmlns:xs="http://www.w3.org/2001/XMLSchema" xmlns:p="http://schemas.microsoft.com/office/2006/metadata/properties" xmlns:ns2="c7a1508f-3a17-4b85-b64a-22bed98c76f1" targetNamespace="http://schemas.microsoft.com/office/2006/metadata/properties" ma:root="true" ma:fieldsID="4c3883de898ba827a73bffc073845c62" ns2:_="">
    <xsd:import namespace="c7a1508f-3a17-4b85-b64a-22bed98c76f1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7a1508f-3a17-4b85-b64a-22bed98c76f1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BillingMetadata" ma:index="11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F3E6040E-F444-4CA5-8DC1-005BA2231385}">
  <ds:schemaRefs>
    <ds:schemaRef ds:uri="http://www.w3.org/XML/1998/namespace"/>
    <ds:schemaRef ds:uri="http://purl.org/dc/terms/"/>
    <ds:schemaRef ds:uri="http://schemas.openxmlformats.org/package/2006/metadata/core-properties"/>
    <ds:schemaRef ds:uri="http://purl.org/dc/elements/1.1/"/>
    <ds:schemaRef ds:uri="http://schemas.microsoft.com/office/2006/documentManagement/types"/>
    <ds:schemaRef ds:uri="http://schemas.microsoft.com/office/infopath/2007/PartnerControls"/>
    <ds:schemaRef ds:uri="http://purl.org/dc/dcmitype/"/>
    <ds:schemaRef ds:uri="c7a1508f-3a17-4b85-b64a-22bed98c76f1"/>
    <ds:schemaRef ds:uri="http://schemas.microsoft.com/office/2006/metadata/properties"/>
  </ds:schemaRefs>
</ds:datastoreItem>
</file>

<file path=customXml/itemProps2.xml><?xml version="1.0" encoding="utf-8"?>
<ds:datastoreItem xmlns:ds="http://schemas.openxmlformats.org/officeDocument/2006/customXml" ds:itemID="{AB4319BE-8AFD-4B9D-BA60-8D9C9A67749C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2DE4F747-F500-4637-AC93-63B52D6CF87D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c7a1508f-3a17-4b85-b64a-22bed98c76f1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Assumptions</vt:lpstr>
      <vt:lpstr>Feature Cost Build</vt:lpstr>
      <vt:lpstr>User &amp; Revenue Model</vt:lpstr>
      <vt:lpstr>Content Generation</vt:lpstr>
      <vt:lpstr>Tool — Avatar</vt:lpstr>
      <vt:lpstr>Tool — Voice AI</vt:lpstr>
      <vt:lpstr>Tool — Pronunciation</vt:lpstr>
      <vt:lpstr>Tool — LLM</vt:lpstr>
      <vt:lpstr>Open Items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cp:keywords/>
  <dc:description/>
  <cp:lastModifiedBy>Jan Hoffmann</cp:lastModifiedBy>
  <cp:revision>0</cp:revision>
  <dcterms:created xsi:type="dcterms:W3CDTF">2026-05-18T15:31:54Z</dcterms:created>
  <dcterms:modified xsi:type="dcterms:W3CDTF">2026-06-17T08:08:28Z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0x010100BA2798C36CECBD43B8C93CC65FE99C9F</vt:lpwstr>
  </property>
</Properties>
</file>