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7"/>
  <workbookPr/>
  <mc:AlternateContent xmlns:mc="http://schemas.openxmlformats.org/markup-compatibility/2006">
    <mc:Choice Requires="x15">
      <x15ac:absPath xmlns:x15ac="http://schemas.microsoft.com/office/spreadsheetml/2010/11/ac" url="/Users/jan/Documents/Claude/Projects/Berlitz Cost Model/"/>
    </mc:Choice>
  </mc:AlternateContent>
  <xr:revisionPtr revIDLastSave="0" documentId="8_{6CCA754F-0008-C543-8004-6F3C6D58ADE0}" xr6:coauthVersionLast="47" xr6:coauthVersionMax="47" xr10:uidLastSave="{00000000-0000-0000-0000-000000000000}"/>
  <bookViews>
    <workbookView xWindow="820" yWindow="660" windowWidth="26760" windowHeight="18980" tabRatio="500" activeTab="2" xr2:uid="{00000000-000D-0000-FFFF-FFFF00000000}"/>
  </bookViews>
  <sheets>
    <sheet name="Assumptions" sheetId="1" r:id="rId1"/>
    <sheet name="Feature Cost Build" sheetId="2" r:id="rId2"/>
    <sheet name="User &amp; Revenue Model" sheetId="3" r:id="rId3"/>
    <sheet name="Content Generation" sheetId="4" r:id="rId4"/>
    <sheet name="Tool — Avatar" sheetId="5" r:id="rId5"/>
    <sheet name="Tool — Voice AI" sheetId="6" r:id="rId6"/>
    <sheet name="Tool — Pronunciation" sheetId="7" r:id="rId7"/>
    <sheet name="Tool — LLM" sheetId="8" r:id="rId8"/>
    <sheet name="Open Items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3" l="1"/>
  <c r="E6" i="2"/>
  <c r="D11" i="2"/>
  <c r="D10" i="2"/>
  <c r="B19" i="3"/>
  <c r="E23" i="3"/>
  <c r="C16" i="8"/>
  <c r="M6" i="2" s="1"/>
  <c r="I6" i="2" s="1"/>
  <c r="C15" i="8"/>
  <c r="C14" i="8"/>
  <c r="K6" i="2" s="1"/>
  <c r="G6" i="2" s="1"/>
  <c r="C15" i="7"/>
  <c r="M10" i="2" s="1"/>
  <c r="I10" i="2" s="1"/>
  <c r="C14" i="7"/>
  <c r="L10" i="2" s="1"/>
  <c r="C13" i="7"/>
  <c r="K10" i="2" s="1"/>
  <c r="C20" i="5"/>
  <c r="M8" i="2" s="1"/>
  <c r="I8" i="2" s="1"/>
  <c r="C19" i="5"/>
  <c r="L8" i="2" s="1"/>
  <c r="C18" i="5"/>
  <c r="K8" i="2" s="1"/>
  <c r="G8" i="2" s="1"/>
  <c r="B30" i="4"/>
  <c r="B18" i="4"/>
  <c r="B8" i="4"/>
  <c r="B34" i="3"/>
  <c r="D24" i="3"/>
  <c r="C24" i="3"/>
  <c r="B7" i="3"/>
  <c r="J29" i="2"/>
  <c r="I29" i="2"/>
  <c r="B29" i="2"/>
  <c r="M28" i="2"/>
  <c r="K28" i="2"/>
  <c r="L28" i="2" s="1"/>
  <c r="J28" i="2"/>
  <c r="I28" i="2"/>
  <c r="H28" i="2"/>
  <c r="G28" i="2"/>
  <c r="M27" i="2"/>
  <c r="J27" i="2"/>
  <c r="I27" i="2"/>
  <c r="H27" i="2"/>
  <c r="G27" i="2"/>
  <c r="M26" i="2"/>
  <c r="K26" i="2"/>
  <c r="L26" i="2" s="1"/>
  <c r="J26" i="2"/>
  <c r="I26" i="2"/>
  <c r="H26" i="2"/>
  <c r="G26" i="2"/>
  <c r="M25" i="2"/>
  <c r="J25" i="2"/>
  <c r="I25" i="2"/>
  <c r="H25" i="2"/>
  <c r="G25" i="2"/>
  <c r="M24" i="2"/>
  <c r="J24" i="2"/>
  <c r="I24" i="2"/>
  <c r="H24" i="2"/>
  <c r="G24" i="2"/>
  <c r="I12" i="2"/>
  <c r="H12" i="2"/>
  <c r="G12" i="2"/>
  <c r="C12" i="2"/>
  <c r="F11" i="2"/>
  <c r="E11" i="2"/>
  <c r="C9" i="2"/>
  <c r="F8" i="2"/>
  <c r="E8" i="2"/>
  <c r="F7" i="2"/>
  <c r="F10" i="2" s="1"/>
  <c r="E7" i="2"/>
  <c r="E10" i="2" s="1"/>
  <c r="D7" i="2"/>
  <c r="F6" i="2"/>
  <c r="I5" i="2"/>
  <c r="H5" i="2"/>
  <c r="F5" i="2"/>
  <c r="E5" i="2"/>
  <c r="D5" i="2"/>
  <c r="G5" i="2" s="1"/>
  <c r="C5" i="2"/>
  <c r="C30" i="6"/>
  <c r="M11" i="2" s="1"/>
  <c r="I11" i="2" s="1"/>
  <c r="C29" i="6"/>
  <c r="L11" i="2" s="1"/>
  <c r="C28" i="6"/>
  <c r="K11" i="2" s="1"/>
  <c r="C16" i="6"/>
  <c r="M7" i="2" s="1"/>
  <c r="I7" i="2" s="1"/>
  <c r="C15" i="6"/>
  <c r="L7" i="2" s="1"/>
  <c r="C14" i="6"/>
  <c r="K7" i="2" s="1"/>
  <c r="G7" i="2" s="1"/>
  <c r="G11" i="2" l="1"/>
  <c r="G13" i="2" s="1"/>
  <c r="G10" i="2"/>
  <c r="L6" i="2"/>
  <c r="B13" i="4"/>
  <c r="B14" i="4" s="1"/>
  <c r="B21" i="4" s="1"/>
  <c r="C10" i="2"/>
  <c r="H10" i="2"/>
  <c r="C8" i="2"/>
  <c r="H8" i="2"/>
  <c r="E28" i="3"/>
  <c r="E31" i="3" s="1"/>
  <c r="E27" i="3"/>
  <c r="E33" i="3"/>
  <c r="E34" i="3" s="1"/>
  <c r="B9" i="3"/>
  <c r="B10" i="3"/>
  <c r="D23" i="3" s="1"/>
  <c r="B11" i="3"/>
  <c r="K27" i="2"/>
  <c r="L27" i="2" s="1"/>
  <c r="K25" i="2"/>
  <c r="L25" i="2" s="1"/>
  <c r="K24" i="2"/>
  <c r="M9" i="2"/>
  <c r="I9" i="2" s="1"/>
  <c r="L9" i="2"/>
  <c r="H9" i="2" s="1"/>
  <c r="K9" i="2"/>
  <c r="G9" i="2" s="1"/>
  <c r="C11" i="2"/>
  <c r="H11" i="2"/>
  <c r="C7" i="2"/>
  <c r="H7" i="2"/>
  <c r="I13" i="2"/>
  <c r="C6" i="2" l="1"/>
  <c r="H6" i="2"/>
  <c r="H13" i="2" s="1"/>
  <c r="B31" i="4"/>
  <c r="B24" i="4"/>
  <c r="B26" i="4" s="1"/>
  <c r="B34" i="4" s="1"/>
  <c r="C23" i="3"/>
  <c r="B52" i="3"/>
  <c r="D33" i="3"/>
  <c r="D34" i="3" s="1"/>
  <c r="D28" i="3"/>
  <c r="D31" i="3" s="1"/>
  <c r="D27" i="3"/>
  <c r="B13" i="3"/>
  <c r="B51" i="3" s="1"/>
  <c r="B23" i="3"/>
  <c r="K29" i="2"/>
  <c r="L24" i="2"/>
  <c r="L29" i="2" s="1"/>
  <c r="B25" i="1" l="1"/>
  <c r="B29" i="1" s="1"/>
  <c r="C33" i="3"/>
  <c r="C27" i="3"/>
  <c r="H27" i="3" s="1"/>
  <c r="I27" i="3" s="1"/>
  <c r="C28" i="3"/>
  <c r="C31" i="3" s="1"/>
  <c r="B28" i="3"/>
  <c r="B55" i="3"/>
  <c r="F23" i="3"/>
  <c r="B27" i="3"/>
  <c r="B46" i="3" l="1"/>
  <c r="C34" i="3"/>
  <c r="F33" i="3"/>
  <c r="B53" i="3" s="1"/>
  <c r="F28" i="3"/>
  <c r="B31" i="3"/>
  <c r="F31" i="3" s="1"/>
  <c r="F27" i="3"/>
  <c r="F34" i="3" l="1"/>
  <c r="B40" i="3" s="1"/>
  <c r="E40" i="3" s="1"/>
  <c r="B54" i="3"/>
  <c r="B41" i="1"/>
  <c r="B41" i="3" l="1"/>
  <c r="B42" i="3" s="1"/>
  <c r="B30" i="1"/>
  <c r="I14" i="2"/>
  <c r="I15" i="2" s="1"/>
  <c r="B18" i="3" s="1"/>
  <c r="H14" i="2"/>
  <c r="H15" i="2" s="1"/>
  <c r="B17" i="3" s="1"/>
  <c r="C29" i="3" s="1"/>
  <c r="C30" i="3" s="1"/>
  <c r="G14" i="2"/>
  <c r="G15" i="2" s="1"/>
  <c r="B16" i="3" s="1"/>
  <c r="B29" i="3" s="1"/>
  <c r="B30" i="3" s="1"/>
  <c r="C32" i="3" l="1"/>
  <c r="C35" i="3"/>
  <c r="C36" i="3"/>
  <c r="E29" i="3"/>
  <c r="E30" i="3" s="1"/>
  <c r="E37" i="3" s="1"/>
  <c r="D29" i="3"/>
  <c r="D30" i="3" s="1"/>
  <c r="B32" i="3"/>
  <c r="D32" i="3" l="1"/>
  <c r="D35" i="3" s="1"/>
  <c r="D37" i="3"/>
  <c r="D36" i="3"/>
  <c r="B35" i="3"/>
  <c r="E32" i="3"/>
  <c r="E36" i="3" s="1"/>
  <c r="F30" i="3"/>
  <c r="G30" i="3" s="1"/>
  <c r="E35" i="3" l="1"/>
  <c r="F32" i="3"/>
  <c r="B43" i="3" s="1"/>
  <c r="B44" i="3" l="1"/>
  <c r="B56" i="3"/>
  <c r="B57" i="3" s="1"/>
  <c r="B45" i="3" l="1"/>
  <c r="B47" i="3"/>
  <c r="B4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14" authorId="0" shapeId="0" xr:uid="{00000000-0006-0000-0000-000001000000}">
      <text>
        <r>
          <rPr>
            <sz val="10"/>
            <rFont val="Arial"/>
            <family val="2"/>
          </rPr>
          <t>Jan-confirmed.</t>
        </r>
      </text>
    </comment>
    <comment ref="B19" authorId="0" shapeId="0" xr:uid="{00000000-0006-0000-0000-000002000000}">
      <text>
        <r>
          <rPr>
            <sz val="10"/>
            <rFont val="Arial"/>
            <family val="2"/>
          </rPr>
          <t>Jan-confirmed.</t>
        </r>
      </text>
    </comment>
    <comment ref="B20" authorId="0" shapeId="0" xr:uid="{00000000-0006-0000-0000-000003000000}">
      <text>
        <r>
          <rPr>
            <sz val="10"/>
            <color rgb="FF000000"/>
            <rFont val="Arial"/>
            <family val="2"/>
          </rPr>
          <t>Jan-confirmed.</t>
        </r>
      </text>
    </comment>
    <comment ref="B21" authorId="0" shapeId="0" xr:uid="{00000000-0006-0000-0000-000004000000}">
      <text>
        <r>
          <rPr>
            <sz val="10"/>
            <rFont val="Arial"/>
            <family val="2"/>
          </rPr>
          <t>Placeholder.</t>
        </r>
      </text>
    </comment>
    <comment ref="B22" authorId="0" shapeId="0" xr:uid="{00000000-0006-0000-0000-000005000000}">
      <text>
        <r>
          <rPr>
            <sz val="10"/>
            <rFont val="Arial"/>
            <family val="2"/>
          </rPr>
          <t>Placeholder.</t>
        </r>
      </text>
    </comment>
    <comment ref="B25" authorId="0" shapeId="0" xr:uid="{00000000-0006-0000-0000-000006000000}">
      <text>
        <r>
          <rPr>
            <sz val="10"/>
            <rFont val="Arial"/>
            <family val="2"/>
          </rPr>
          <t>PLACEHOLDER.</t>
        </r>
      </text>
    </comment>
    <comment ref="B40" authorId="0" shapeId="0" xr:uid="{00000000-0006-0000-0000-000007000000}">
      <text>
        <r>
          <rPr>
            <sz val="10"/>
            <rFont val="Arial"/>
            <family val="2"/>
          </rPr>
          <t>Spot ~May 2026. Update.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D8" authorId="0" shapeId="0" xr:uid="{00000000-0006-0000-0100-000002000000}">
      <text>
        <r>
          <rPr>
            <sz val="10"/>
            <color rgb="FF000000"/>
            <rFont val="Arial"/>
            <family val="2"/>
          </rPr>
          <t xml:space="preserve">demo sessions of max 20 minutes (CAC budget)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 — validated Jun 2026 via browser</author>
  </authors>
  <commentList>
    <comment ref="A1" authorId="0" shapeId="0" xr:uid="{00000000-0006-0000-0400-000001000000}">
      <text>
        <r>
          <rPr>
            <sz val="10"/>
            <rFont val="Arial"/>
            <family val="2"/>
          </rPr>
          <t>Validated Jun 2026: avatar vendors do NOT publish public per-minute streaming/interactive pricing.
- Simli /pricing 404s.
- HeyGen page is consumer credit-based; interactive avatar is enterprise/contact-sales.
- Tavus/Anam similar.
Prices here are estimates - request enterprise quotes for ~2M-user volume.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 — validated Jun 2026 via browser</author>
  </authors>
  <commentList>
    <comment ref="A1" authorId="0" shapeId="0" xr:uid="{00000000-0006-0000-0500-000001000000}">
      <text>
        <r>
          <rPr>
            <sz val="10"/>
            <rFont val="Arial"/>
            <family val="2"/>
          </rPr>
          <t>Validated Jun 2026 via browser.
ASR: Azure committed 50k-hr tier $0.50/hr=$0.0083/min (Berlitz 10k-hr tier=$0.65/hr); cheaper option OpenAI gpt-4o-mini-transcribe $0.003/min; Deepgram Nova-3 Growth $0.0042/min.
TTS: Azure Neural committed $7.50/1M chars=$0.0068/min (current stack); ElevenLabs Business $0.05/min.
For ~2M users pick the highest Azure commitment tier (50k-hr / disconnected container ~$0.475/hr).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600-000001000000}">
      <text>
        <r>
          <rPr>
            <sz val="10"/>
            <rFont val="Arial"/>
            <family val="2"/>
          </rPr>
          <t>Time-based, tied to user-speech (STT) minutes x coverage% (Assumptions!B10=100%). STT share raised to 15% so user-speech ~ half the avatar interaction. Applies to ALL tiers incl. Free. Azure pron-assessment bash.30/hr PAYG / bash.15/hr committed = current Berlitz provider.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 — pricing validation Jun 2026</author>
  </authors>
  <commentList>
    <comment ref="A1" authorId="0" shapeId="0" xr:uid="{00000000-0006-0000-0700-000001000000}">
      <text>
        <r>
          <rPr>
            <sz val="10"/>
            <rFont val="Arial"/>
            <family val="2"/>
          </rPr>
          <t>Claude API rates validated Jun 2026 (claude.com/pricing). Blended $/1k assumes ~3:1 input:output. No flat volume discount on standard API — at ~2M-user scale negotiate committed-spend (Enterprise) discount; Batch processing -50% for async; prompt caching reduces repeated-context cost.</t>
        </r>
      </text>
    </comment>
  </commentList>
</comments>
</file>

<file path=xl/sharedStrings.xml><?xml version="1.0" encoding="utf-8"?>
<sst xmlns="http://schemas.openxmlformats.org/spreadsheetml/2006/main" count="481" uniqueCount="369">
  <si>
    <t>BERLITZ COST MODEL — GLOBAL ASSUMPTIONS (v0.2)</t>
  </si>
  <si>
    <t>BLUE = input · BLACK = formula · GREEN = cross-sheet link · YELLOW = placeholder needing real data</t>
  </si>
  <si>
    <t>SESSION SETUP (30-min sessions; tiers differ by feature mix, not length)</t>
  </si>
  <si>
    <t>Standard session length (min)</t>
  </si>
  <si>
    <t>STT share of session (%)</t>
  </si>
  <si>
    <t>TTS share of session (%)</t>
  </si>
  <si>
    <t>AI tutor share of session — Plus/Pro (%)</t>
  </si>
  <si>
    <t>LLM dialogue tokens / session (k) — Plus/Pro</t>
  </si>
  <si>
    <t>Pronunciation coverage of user-speech / STT (%)</t>
  </si>
  <si>
    <t>PRICING &amp; PLANS (subscription, monthly $)</t>
  </si>
  <si>
    <t>Free plan price ($/mo)</t>
  </si>
  <si>
    <t>Plus plan price ($/mo)</t>
  </si>
  <si>
    <t>Pro plan price ($/mo)</t>
  </si>
  <si>
    <t>Enterprise plan price ($/mo)</t>
  </si>
  <si>
    <t>Payment processing % of revenue</t>
  </si>
  <si>
    <t>BEST TIER HUMAN ECONOMICS</t>
  </si>
  <si>
    <t>Teacher pay per session (€) — live + prep</t>
  </si>
  <si>
    <t>Live delivery infra per session (€) — fully loaded</t>
  </si>
  <si>
    <t>No-show rate</t>
  </si>
  <si>
    <t>Teacher paid % on no-show</t>
  </si>
  <si>
    <t>ANNUAL FIXED COSTS (€/yr — all placeholders, refine with real data)</t>
  </si>
  <si>
    <t>Curriculum content generation (€/yr) — Content Generation sheet</t>
  </si>
  <si>
    <t>Platform infra (€/yr)</t>
  </si>
  <si>
    <t>R&amp;D, QA, compliance (€/yr)</t>
  </si>
  <si>
    <t>Customer support (€/yr)</t>
  </si>
  <si>
    <t>TOTAL fixed (€/yr)</t>
  </si>
  <si>
    <t>Fixed cost per session (€) — flat allocation</t>
  </si>
  <si>
    <t>MOBILE APP PLANS — credits &amp; references</t>
  </si>
  <si>
    <t>Plus credits / month</t>
  </si>
  <si>
    <t>Pro credits / month</t>
  </si>
  <si>
    <t>Plus price (Rs/mo, ref)</t>
  </si>
  <si>
    <t>Pro price (Rs/mo, ref)</t>
  </si>
  <si>
    <t>Markets</t>
  </si>
  <si>
    <t>India, Chile</t>
  </si>
  <si>
    <t>GLOBAL</t>
  </si>
  <si>
    <t>USD → EUR FX rate</t>
  </si>
  <si>
    <t>Total annual AI sessions (for content allocation)</t>
  </si>
  <si>
    <t>FEATURE COST BUILD — per-tier AI-session cost. Uniform 30-min session; tiers differ by feature time-mix. Human teacher costed separately.</t>
  </si>
  <si>
    <t>Feature</t>
  </si>
  <si>
    <t>Unit driver</t>
  </si>
  <si>
    <t>Unit € (Plus ref)</t>
  </si>
  <si>
    <t>Free intensity</t>
  </si>
  <si>
    <t>Plus intensity</t>
  </si>
  <si>
    <t>Pro intensity</t>
  </si>
  <si>
    <t>Cost / Free (€)</t>
  </si>
  <si>
    <t>Cost / Plus (€)</t>
  </si>
  <si>
    <t>Cost / Pro (€)</t>
  </si>
  <si>
    <t>Free unit €</t>
  </si>
  <si>
    <t>Plus unit €</t>
  </si>
  <si>
    <t>Pro unit €</t>
  </si>
  <si>
    <t>Basic curriculum (2026 baseline)</t>
  </si>
  <si>
    <t>Allocated via fixed costs</t>
  </si>
  <si>
    <t>LLM inference / dialogue</t>
  </si>
  <si>
    <t>tokens (1k blended)</t>
  </si>
  <si>
    <t>Voice — ASR (speech-to-text)</t>
  </si>
  <si>
    <t>voice-minutes</t>
  </si>
  <si>
    <t>AI tutor (interactive avatar)</t>
  </si>
  <si>
    <t>avatar-minutes</t>
  </si>
  <si>
    <t>Human teacher (live + prep) — costed per booking</t>
  </si>
  <si>
    <t>1 session</t>
  </si>
  <si>
    <t>Pronunciation assessment (user speech)</t>
  </si>
  <si>
    <t>minutes (user speech)</t>
  </si>
  <si>
    <t>Voice — TTS (text-to-speech)</t>
  </si>
  <si>
    <t>Payment processing — excluded (see P&amp;L)</t>
  </si>
  <si>
    <t>—</t>
  </si>
  <si>
    <t>VARIABLE COST PER SESSION</t>
  </si>
  <si>
    <t>Content/curriculum generation (amortised €/session)</t>
  </si>
  <si>
    <t>TOTAL COST / SESSION incl. content (€)</t>
  </si>
  <si>
    <t>Other fixed costs (platform, R&amp;D, support, engine) — annual lump in User &amp; Revenue P&amp;L.</t>
  </si>
  <si>
    <t>SRIKANT'S SIMPLIFIED MODEL — per 1,000 users / month (5 tiers)</t>
  </si>
  <si>
    <t>Reverse-engineered from Srikant’s table: flat $2 AI/user/mo · teacher light · ~16% app-store fee · LTV ≈ 16.5 × monthly price. Sessions/mo = added assumption (not in his model).</t>
  </si>
  <si>
    <t>App-store / payment fee % of revenue</t>
  </si>
  <si>
    <t>Tier</t>
  </si>
  <si>
    <t>Users /1k</t>
  </si>
  <si>
    <t>Price $/mo</t>
  </si>
  <si>
    <t>AI $/user/mo</t>
  </si>
  <si>
    <t>Teacher $/user/mo</t>
  </si>
  <si>
    <t>Sessions/user/mo</t>
  </si>
  <si>
    <t>Price / session $</t>
  </si>
  <si>
    <t>Cost / session $</t>
  </si>
  <si>
    <t>Revenue $/mo</t>
  </si>
  <si>
    <t>AI+Teacher $/mo</t>
  </si>
  <si>
    <t>App-fee $/mo</t>
  </si>
  <si>
    <t>Gross profit $/mo</t>
  </si>
  <si>
    <t>LTV $</t>
  </si>
  <si>
    <t>Free</t>
  </si>
  <si>
    <t>Plus</t>
  </si>
  <si>
    <t>Pro</t>
  </si>
  <si>
    <t>Career</t>
  </si>
  <si>
    <t>Premium</t>
  </si>
  <si>
    <t>TOTAL</t>
  </si>
  <si>
    <t>USER &amp; REVENUE MODEL — Free / Plus / Pro subscriptions + credits</t>
  </si>
  <si>
    <t>BLUE = input · BLACK = formula · GREEN = link · YELLOW = key assumption. Plans: Plus $19/mo (2 credits), Pro $49/mo (6 credits). Revenue $→€ via Assumptions!B5.</t>
  </si>
  <si>
    <t>USER BASE &amp; CONVERSION FUNNEL</t>
  </si>
  <si>
    <t>Freemium signups</t>
  </si>
  <si>
    <t>Free-tier registered users</t>
  </si>
  <si>
    <t>Free → paid conversion rate</t>
  </si>
  <si>
    <t>Stated range 18–25%</t>
  </si>
  <si>
    <t>Total paid subscribers</t>
  </si>
  <si>
    <t>% of paid on Pro</t>
  </si>
  <si>
    <t>Remainder on Plus</t>
  </si>
  <si>
    <t>Plus subscribers</t>
  </si>
  <si>
    <t>Pro subscribers</t>
  </si>
  <si>
    <t>Free (non-converting) users</t>
  </si>
  <si>
    <t>Cost-bearing, no revenue</t>
  </si>
  <si>
    <t>Enterprise users</t>
  </si>
  <si>
    <t>B2B seats — Pro-style usage, annual ARPU</t>
  </si>
  <si>
    <t>Total cost-bearing users</t>
  </si>
  <si>
    <t>UNIT COSTS / SESSION (linked from Feature Cost Build)</t>
  </si>
  <si>
    <t>Free AI session incl. content (€)</t>
  </si>
  <si>
    <t>Plus AI session incl. content (€)</t>
  </si>
  <si>
    <t>Pro AI session incl. content (€)</t>
  </si>
  <si>
    <t>Human teacher session (€)</t>
  </si>
  <si>
    <t>Live + prep incl. no-show</t>
  </si>
  <si>
    <t>SEGMENT ECONOMICS (annual)</t>
  </si>
  <si>
    <t>Enterprise</t>
  </si>
  <si>
    <t>Total</t>
  </si>
  <si>
    <t>Subscribers / users</t>
  </si>
  <si>
    <t>Plan price ($/seat/mo)</t>
  </si>
  <si>
    <t>AI sessions / user / mo</t>
  </si>
  <si>
    <t>Free uncapped; Plus/Pro ≤ credits</t>
  </si>
  <si>
    <t>Human sessions / user / mo</t>
  </si>
  <si>
    <t>Pro/Enterprise live bookings</t>
  </si>
  <si>
    <t>Annual AI sessions</t>
  </si>
  <si>
    <t>Annual human sessions</t>
  </si>
  <si>
    <t>AI cost / session (€)</t>
  </si>
  <si>
    <t>Annual AI cost (€)</t>
  </si>
  <si>
    <t>Annual human cost (€)</t>
  </si>
  <si>
    <t>Annual variable cost (€)</t>
  </si>
  <si>
    <t>Annual revenue ($)</t>
  </si>
  <si>
    <t>Annual revenue (€)</t>
  </si>
  <si>
    <t>Margin (€)</t>
  </si>
  <si>
    <t>Operating Margin (%)</t>
  </si>
  <si>
    <t>negative</t>
  </si>
  <si>
    <t>P&amp;L SUMMARY (€/yr)</t>
  </si>
  <si>
    <t>Gross revenue (€)</t>
  </si>
  <si>
    <t xml:space="preserve">ARPU </t>
  </si>
  <si>
    <t>Payment processing (€)</t>
  </si>
  <si>
    <t>2.5% of revenue</t>
  </si>
  <si>
    <t>Net revenue (€)</t>
  </si>
  <si>
    <t>Variable cost — AI + human (€)</t>
  </si>
  <si>
    <t>Contribution margin (€)</t>
  </si>
  <si>
    <t>Contribution margin (%)</t>
  </si>
  <si>
    <t>Fixed cost (€)</t>
  </si>
  <si>
    <t>Annual fixed excl. content gen (now in per-session cost)</t>
  </si>
  <si>
    <t>Operating result (€)</t>
  </si>
  <si>
    <t>Operating margin (%)</t>
  </si>
  <si>
    <t>KEY METRICS</t>
  </si>
  <si>
    <t>Total users</t>
  </si>
  <si>
    <t>Blended ARPU / paying user ($/yr)</t>
  </si>
  <si>
    <t>Total annual sessions (AI+human)</t>
  </si>
  <si>
    <t>Total implied DAU</t>
  </si>
  <si>
    <t>≈1 session/active day, 30-day month</t>
  </si>
  <si>
    <t>Total cost (€/yr, var+fixed+pmt)</t>
  </si>
  <si>
    <t>Cost per user (€/yr)</t>
  </si>
  <si>
    <t>CONTENT / CURRICULUM GENERATION — AI-ASSISTED HYBRID BUILD</t>
  </si>
  <si>
    <t>BLUE = input · BLACK = formula · GREEN = cross-sheet link · YELLOW = key assumption. Feeds Assumptions!B28 (curriculum line).</t>
  </si>
  <si>
    <t>CONTENT CATALOG SCOPE</t>
  </si>
  <si>
    <t>Languages in catalog</t>
  </si>
  <si>
    <t>Distinct languages offered</t>
  </si>
  <si>
    <t>CEFR levels per language (A1–C2)</t>
  </si>
  <si>
    <t>A1, A2, B1, B2, C1, C2</t>
  </si>
  <si>
    <t>Lessons per level</t>
  </si>
  <si>
    <t>Authored lesson units per level</t>
  </si>
  <si>
    <t>Total lessons in catalog</t>
  </si>
  <si>
    <t>languages x levels x lessons</t>
  </si>
  <si>
    <t>PER-LESSON GENERATION COST — AI-ASSISTED HYBRID</t>
  </si>
  <si>
    <t>AI draft (LLM generation)</t>
  </si>
  <si>
    <t>Tokens per lesson (blended in+out)</t>
  </si>
  <si>
    <t>Prompt + generated lesson content</t>
  </si>
  <si>
    <t>LLM cost per 1k tokens (€)</t>
  </si>
  <si>
    <t>Selected LLM USD price × FX (Assumptions!B5)</t>
  </si>
  <si>
    <t xml:space="preserve">  AI generation cost / lesson (€)</t>
  </si>
  <si>
    <t>Human review &amp; edit</t>
  </si>
  <si>
    <t>Editor / SME hours per lesson</t>
  </si>
  <si>
    <t>Instructional-design review of AI draft</t>
  </si>
  <si>
    <t>Loaded editor rate (€/hr)</t>
  </si>
  <si>
    <t>Fully-loaded hourly cost</t>
  </si>
  <si>
    <t xml:space="preserve">  Human review cost / lesson (€)</t>
  </si>
  <si>
    <t>hours x rate</t>
  </si>
  <si>
    <t>Media &amp; localization</t>
  </si>
  <si>
    <t>Media / audio / localization per lesson (€)</t>
  </si>
  <si>
    <t>Recording, images, QA per lesson</t>
  </si>
  <si>
    <t>TOTAL COST PER LESSON (€)</t>
  </si>
  <si>
    <t>AI + human + media</t>
  </si>
  <si>
    <t>ONE-TIME BUILD (amortised)</t>
  </si>
  <si>
    <t>Total initial build cost (€)</t>
  </si>
  <si>
    <t>total lessons x cost/lesson</t>
  </si>
  <si>
    <t>Amortisation period (years)</t>
  </si>
  <si>
    <t>Useful life of authored catalog</t>
  </si>
  <si>
    <t>Amortised build cost (€/yr)</t>
  </si>
  <si>
    <t>build / years</t>
  </si>
  <si>
    <t>ANNUAL REFRESH</t>
  </si>
  <si>
    <t>Annual refresh rate (% of catalog/yr)</t>
  </si>
  <si>
    <t>Share of lessons re-authored each year</t>
  </si>
  <si>
    <t>Lessons refreshed per year</t>
  </si>
  <si>
    <t>total lessons x refresh %</t>
  </si>
  <si>
    <t>Annual refresh cost (€/yr)</t>
  </si>
  <si>
    <t>refreshed lessons x cost/lesson</t>
  </si>
  <si>
    <t>TOTAL ANNUAL CONTENT GENERATION COST</t>
  </si>
  <si>
    <t>TOTAL CONTENT GENERATION (€/yr)</t>
  </si>
  <si>
    <t>Amortised build + annual refresh → feeds Assumptions!B28</t>
  </si>
  <si>
    <t>AVATAR VENDOR DECISION</t>
  </si>
  <si>
    <t>Per-minute video avatar. NOTE: Talkio.ai bundles ASR+TTS+LLM — selecting it zeroes that tier’s separate voice cost.</t>
  </si>
  <si>
    <t>VENDOR COMPARISON</t>
  </si>
  <si>
    <t>Vendor</t>
  </si>
  <si>
    <t>Price (USD)</t>
  </si>
  <si>
    <t>Unit</t>
  </si>
  <si>
    <t>Notes</t>
  </si>
  <si>
    <t>Simli Trinity-1</t>
  </si>
  <si>
    <t>$/min</t>
  </si>
  <si>
    <t>Lip-sync only — you add voice</t>
  </si>
  <si>
    <t>Simli standard</t>
  </si>
  <si>
    <t>https://www.simli.com/pricing</t>
  </si>
  <si>
    <t>HeyGen LiveAvatar Lite</t>
  </si>
  <si>
    <t>HeyGen consumer plans are credit-based video gen; interactive-avatar (streaming) API = enterprise/quote. Not public per-min. Estimate</t>
  </si>
  <si>
    <t>https://www.heygen.com/pricing</t>
  </si>
  <si>
    <t>Conversational; check voice bundling</t>
  </si>
  <si>
    <t>HeyGen LiveAvatar Full</t>
  </si>
  <si>
    <t>Higher fidelity</t>
  </si>
  <si>
    <t>Tavus CVI</t>
  </si>
  <si>
    <t>Conversational video; bundles voice. NOT validated live</t>
  </si>
  <si>
    <t>https://www.tavus.io/pricing</t>
  </si>
  <si>
    <t>D-ID Streaming</t>
  </si>
  <si>
    <t>Premium/enterprise</t>
  </si>
  <si>
    <t>Talkio.ai</t>
  </si>
  <si>
    <t>Talkio bundles ASR+TTS+LLM. Price is placeholder — confirm vs contract (char + per-seat)</t>
  </si>
  <si>
    <t>On-device (in-house)</t>
  </si>
  <si>
    <t>Local rendering</t>
  </si>
  <si>
    <t>SELECTED VENDOR — per tier (Free / Plus / Pro)</t>
  </si>
  <si>
    <t>Vendor (change me)</t>
  </si>
  <si>
    <t>VOICE — ASR (speech-to-text) + TTS (text-to-speech) — priced SEPARATELY</t>
  </si>
  <si>
    <t>ASR and TTS have very different pricing, so split. Per-minute, per tier. Azure = current Berlitz voice stack.</t>
  </si>
  <si>
    <t>ASR / SPEECH-TO-TEXT — VENDOR COMPARISON</t>
  </si>
  <si>
    <t>Azure Speech (committed)</t>
  </si>
  <si>
    <t>Azure STT committed: $0.50/hr @50k-hr tier = $0.0083/min; 10k-hr tier $0.65/hr=$0.0108; PAYG $1/hr. Validated Jun2026</t>
  </si>
  <si>
    <t>https://azure.microsoft.com/en-us/pricing/details/speech/</t>
  </si>
  <si>
    <t>Deepgram Nova</t>
  </si>
  <si>
    <t>Nova-3 Monolingual, Growth (prepaid annual ~20% off); PAYG $0.0048 promo. Validated Jun 2026</t>
  </si>
  <si>
    <t>https://deepgram.com/pricing</t>
  </si>
  <si>
    <t>Whisper (self-hosted)</t>
  </si>
  <si>
    <t>OSS self-host; infra cost. ~$0.006/min ref</t>
  </si>
  <si>
    <t>OpenAI gpt-4o-mini-transcribe</t>
  </si>
  <si>
    <t>gpt-4o-mini-transcribe $0.003/min (gpt-4o-transcribe $0.006). Validated Jun2026</t>
  </si>
  <si>
    <t>Local model</t>
  </si>
  <si>
    <t>SELECTED ASR — per tier (Free / Plus / Pro)</t>
  </si>
  <si>
    <t>TTS / TEXT-TO-SPEECH — VENDOR COMPARISON</t>
  </si>
  <si>
    <t>Azure Neural TTS (committed)</t>
  </si>
  <si>
    <t>Azure Neural TTS committed $7.50/1M chars (2,000M tier) x ~900 ch/min = $0.0068/min (=EUR6.451/1M). Validated Jun2026</t>
  </si>
  <si>
    <t>OpenAI TTS</t>
  </si>
  <si>
    <t>OpenAI now token/realtime-centric; classic tts ~$15/1M chars (~$0.0135/min); confirm. Page validated Jun2026</t>
  </si>
  <si>
    <t>https://platform.openai.com/docs/pricing</t>
  </si>
  <si>
    <t>ElevenLabs Turbo</t>
  </si>
  <si>
    <t>ElevenLabs Business plan, low-latency TTS ~$0.05/min; Enterprise lower at scale. Validated Jun 2026</t>
  </si>
  <si>
    <t>https://elevenlabs.io/pricing</t>
  </si>
  <si>
    <t>ElevenLabs Premium</t>
  </si>
  <si>
    <t>ElevenLabs standard quality ~$0.17/min (Creator..Business). Validated Jun 2026</t>
  </si>
  <si>
    <t>SELECTED TTS — per tier (Free / Plus / Pro)</t>
  </si>
  <si>
    <t>PRONUNCIATION ASSESSMENT — time-based ($/min), runs on user speech</t>
  </si>
  <si>
    <t>Runs whenever the user speaks = user-speech (STT) minutes x coverage (Assumptions!B10). Azure = current Berlitz stack. Validated Jun 2026.</t>
  </si>
  <si>
    <t>Azure Pronunciation Assessment</t>
  </si>
  <si>
    <t>$0.30/hr PAYG; CURRENT Berlitz stack (Teams)</t>
  </si>
  <si>
    <t>Azure committed (50k-hr)</t>
  </si>
  <si>
    <t>$0.15/hr committed tier (2M-user scale)</t>
  </si>
  <si>
    <t>Speechace (per-utterance, est)</t>
  </si>
  <si>
    <t>Natively per-utterance; rough per-min equiv</t>
  </si>
  <si>
    <t>https://www.speechace.com/</t>
  </si>
  <si>
    <t>https://shop.speechace.com/subscription/signup-api/speechace-for-developers/speechace_api_premium_500_monthly</t>
  </si>
  <si>
    <t>LLM (TEXT) VENDOR DECISION</t>
  </si>
  <si>
    <t>Blended input+output token cost. Per 1,000 tokens.</t>
  </si>
  <si>
    <t>Claude Haiku 4.5</t>
  </si>
  <si>
    <t>$/1k tokens (blended)</t>
  </si>
  <si>
    <t>Haiku 4.5: $1 in / $5 out per MTok; blended ~3:1 mix = ~$2/MTok. Batch -50%. Validated Jun 2026</t>
  </si>
  <si>
    <t>https://claude.com/pricing</t>
  </si>
  <si>
    <t>Claude Sonnet 4.6 (default)</t>
  </si>
  <si>
    <t>Sonnet 4.6: $3 in / $15 out per MTok; blended ~3:1 = ~$6/MTok. Validated Jun 2026</t>
  </si>
  <si>
    <t>Claude Opus 4.6</t>
  </si>
  <si>
    <t>Opus 4.8: $5 in / $25 out per MTok; blended ~3:1 = ~$10/MTok. Validated Jun 2026</t>
  </si>
  <si>
    <t>GPT-class equivalent</t>
  </si>
  <si>
    <t>Pricing comparable</t>
  </si>
  <si>
    <t>OSS self-hosted</t>
  </si>
  <si>
    <t>Requires infra investment</t>
  </si>
  <si>
    <t>In-house on-device small model</t>
  </si>
  <si>
    <t>OPEN ITEMS — refine before any decision (tiers per berlitz-mobile-app.md)</t>
  </si>
  <si>
    <t>CATEGORY</t>
  </si>
  <si>
    <t>STATUS</t>
  </si>
  <si>
    <t>ITEM</t>
  </si>
  <si>
    <t>Volume</t>
  </si>
  <si>
    <t>Placeholder 1M/yr</t>
  </si>
  <si>
    <t>Annual sessions for fixed allocation — confirm year-3 target</t>
  </si>
  <si>
    <t>Baseline</t>
  </si>
  <si>
    <t>Confirmed (550k/800)</t>
  </si>
  <si>
    <t>Global EU/JP/US, no franchises</t>
  </si>
  <si>
    <t>Engagement</t>
  </si>
  <si>
    <t>Now modelled (User &amp; Revenue)</t>
  </si>
  <si>
    <t>Sessions/user/mo per segment + DAU; refine 4–8 range &amp; enterprise frequency</t>
  </si>
  <si>
    <t>Tier mix</t>
  </si>
  <si>
    <t>Modelled as scenarios</t>
  </si>
  <si>
    <t>Pick target mix once strategy lands</t>
  </si>
  <si>
    <t>Tool — Voice AI</t>
  </si>
  <si>
    <t>OpenAI Realtime default</t>
  </si>
  <si>
    <t>Validate per actual vendor</t>
  </si>
  <si>
    <t>Tool — Avatar</t>
  </si>
  <si>
    <t>HeyGen Lite default</t>
  </si>
  <si>
    <t>Trial Simli, Anam vs. Talkio.ai baseline for fidelity</t>
  </si>
  <si>
    <t>Tool — Pronunciation</t>
  </si>
  <si>
    <t>Speechace default</t>
  </si>
  <si>
    <t>Vendor &amp; pricing — could self-host</t>
  </si>
  <si>
    <t>Tool — LLM</t>
  </si>
  <si>
    <t>Claude Sonnet default</t>
  </si>
  <si>
    <t>Token budget per session is biggest uncertainty</t>
  </si>
  <si>
    <t>No-show</t>
  </si>
  <si>
    <t>Placeholder 10% / 50%-pay</t>
  </si>
  <si>
    <t>Actual rate from Berlitz ops</t>
  </si>
  <si>
    <t>Curriculum content</t>
  </si>
  <si>
    <t>Now modelled (Content Gen sheet)</t>
  </si>
  <si>
    <t>Validate per-lesson inputs: tokens/lesson, editor hours, refresh %, catalog scope</t>
  </si>
  <si>
    <t>Closed-loop engine</t>
  </si>
  <si>
    <t>Placeholder €300k/yr</t>
  </si>
  <si>
    <t>Build cost for adaptive engine</t>
  </si>
  <si>
    <t>Platform infra</t>
  </si>
  <si>
    <t>Placeholder €600k/yr</t>
  </si>
  <si>
    <t>At target volume — confirm with infra team</t>
  </si>
  <si>
    <t>R&amp;D / compliance</t>
  </si>
  <si>
    <t>Placeholder €400k/yr</t>
  </si>
  <si>
    <t>EU AI Act, GDPR, B2B SLA needs</t>
  </si>
  <si>
    <t>Support</t>
  </si>
  <si>
    <t>Placeholder €250k/yr</t>
  </si>
  <si>
    <t>Per-ticket cost × volume</t>
  </si>
  <si>
    <t>Pricing — Good/Better</t>
  </si>
  <si>
    <t>Placeholder €2 / €8</t>
  </si>
  <si>
    <t>Pricing strategy not set</t>
  </si>
  <si>
    <t>Best teacher €10</t>
  </si>
  <si>
    <t>Confirmed: live + prep</t>
  </si>
  <si>
    <t>No-show pay policy still TBD</t>
  </si>
  <si>
    <t>€5.80 infra</t>
  </si>
  <si>
    <t>Confirmed: fully loaded</t>
  </si>
  <si>
    <t>Tiers</t>
  </si>
  <si>
    <t>Now Free/Plus/Pro (mobile MVP)</t>
  </si>
  <si>
    <t>Plans: Free, Plus $19/mo (2 cr), Pro $49/mo (6 cr) — per app spec</t>
  </si>
  <si>
    <t>Feature intensities</t>
  </si>
  <si>
    <t>Mapped to mobile tiers</t>
  </si>
  <si>
    <t>Free=voice AI; Plus=AI tutor; Pro=+human. Refine minutes/utterances</t>
  </si>
  <si>
    <t>User base</t>
  </si>
  <si>
    <t>Modelled (1M free, 20% conv)</t>
  </si>
  <si>
    <t>1M freemium → 200k self-serve; 500k enterprise — confirm targets</t>
  </si>
  <si>
    <t>ARPU</t>
  </si>
  <si>
    <t>Placeholder $55 / $125 annual</t>
  </si>
  <si>
    <t>Self-serve $50–60, enterprise $100–150 — confirm period &amp; figures</t>
  </si>
  <si>
    <t>Unit economics</t>
  </si>
  <si>
    <t>FLAG: deeply negative</t>
  </si>
  <si>
    <t>Variable cost ≫ revenue at current settings — see User &amp; Revenue P&amp;L</t>
  </si>
  <si>
    <t>Voice cost</t>
  </si>
  <si>
    <t>FLAG: biggest lever</t>
  </si>
  <si>
    <t>Free is voice-first &amp; uncapped; cloud voice €0.276/min dominates — doc flags local voice models</t>
  </si>
  <si>
    <t>Credits</t>
  </si>
  <si>
    <t>Use-it-or-lose-it</t>
  </si>
  <si>
    <t>Actual credit utilisation drives cost; assumed sessions ≤ caps — refine</t>
  </si>
  <si>
    <t>Not in app spec</t>
  </si>
  <si>
    <t>500k B2B seats modelled as Pro-style usage + annual ARPU — confirm plan &amp; price</t>
  </si>
  <si>
    <t>India + Chile pilot</t>
  </si>
  <si>
    <t>Rs pricing (999/1999); 1k-signup conversion matrix in doc for pilot sizing</t>
  </si>
  <si>
    <t>Each row = a feature. Intensity = minutes/tokens/... per session. Per-tier unit cost reflects each tier’s selected vendor. Cost = unit × intensity.</t>
  </si>
  <si>
    <t>https://www.d-id.com/pricing/api/</t>
  </si>
  <si>
    <t>"Legacy" model</t>
  </si>
  <si>
    <t xml:space="preserve">Anam.ai </t>
  </si>
  <si>
    <t>minutes of session</t>
  </si>
  <si>
    <t>avatar minutes</t>
  </si>
  <si>
    <t>ai cost overall relative to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</si>
</sst>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;\(#,##0\);\-"/>
    <numFmt numFmtId="165" formatCode="0.0%;\(0.0%\);\-"/>
    <numFmt numFmtId="166" formatCode="0.0%"/>
    <numFmt numFmtId="167" formatCode="\$#,##0;&quot;($&quot;#,##0\);\-"/>
    <numFmt numFmtId="168" formatCode="\€#,##0.00;&quot;(€&quot;#,##0.00\);\-"/>
    <numFmt numFmtId="169" formatCode="\€#,##0;&quot;(€&quot;#,##0\);\-"/>
    <numFmt numFmtId="170" formatCode="0.000"/>
    <numFmt numFmtId="171" formatCode="\€#,##0.0000;&quot;(€&quot;#,##0.0000\);\-"/>
    <numFmt numFmtId="172" formatCode="0.0"/>
    <numFmt numFmtId="173" formatCode="\$#,##0;&quot;($&quot;#,##0\)"/>
    <numFmt numFmtId="174" formatCode="\$#,##0.00;&quot;($&quot;#,##0.00\)"/>
    <numFmt numFmtId="175" formatCode="#,##0.0"/>
    <numFmt numFmtId="176" formatCode="\$#,##0.000;&quot;($&quot;#,##0.000\);\-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FFFFFF"/>
      <name val="Arial"/>
      <family val="2"/>
      <charset val="1"/>
    </font>
    <font>
      <i/>
      <sz val="1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0000FF"/>
      <name val="Arial"/>
      <family val="2"/>
    </font>
    <font>
      <sz val="11"/>
      <color rgb="FF008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  <charset val="1"/>
    </font>
    <font>
      <u/>
      <sz val="9"/>
      <color rgb="FF0563C1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sz val="11"/>
      <name val="Arial"/>
      <family val="2"/>
      <charset val="1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C6E0B4"/>
        <bgColor rgb="FFE2EFD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82">
    <xf numFmtId="0" fontId="0" fillId="0" borderId="0" xfId="0"/>
    <xf numFmtId="0" fontId="4" fillId="3" borderId="0" xfId="0" applyFont="1" applyFill="1"/>
    <xf numFmtId="0" fontId="2" fillId="2" borderId="0" xfId="0" applyFont="1" applyFill="1" applyAlignment="1">
      <alignment horizontal="left" vertical="center"/>
    </xf>
    <xf numFmtId="0" fontId="5" fillId="0" borderId="0" xfId="0" applyFont="1"/>
    <xf numFmtId="164" fontId="6" fillId="0" borderId="0" xfId="0" applyNumberFormat="1" applyFont="1"/>
    <xf numFmtId="165" fontId="6" fillId="0" borderId="0" xfId="0" applyNumberFormat="1" applyFont="1"/>
    <xf numFmtId="166" fontId="7" fillId="4" borderId="0" xfId="0" applyNumberFormat="1" applyFont="1" applyFill="1"/>
    <xf numFmtId="167" fontId="6" fillId="4" borderId="0" xfId="0" applyNumberFormat="1" applyFont="1" applyFill="1"/>
    <xf numFmtId="167" fontId="6" fillId="0" borderId="0" xfId="0" applyNumberFormat="1" applyFont="1"/>
    <xf numFmtId="168" fontId="6" fillId="0" borderId="0" xfId="0" applyNumberFormat="1" applyFont="1"/>
    <xf numFmtId="165" fontId="6" fillId="4" borderId="0" xfId="0" applyNumberFormat="1" applyFont="1" applyFill="1"/>
    <xf numFmtId="169" fontId="8" fillId="0" borderId="0" xfId="0" applyNumberFormat="1" applyFont="1"/>
    <xf numFmtId="169" fontId="6" fillId="4" borderId="0" xfId="0" applyNumberFormat="1" applyFont="1" applyFill="1"/>
    <xf numFmtId="0" fontId="4" fillId="0" borderId="0" xfId="0" applyFont="1"/>
    <xf numFmtId="169" fontId="4" fillId="0" borderId="0" xfId="0" applyNumberFormat="1" applyFont="1"/>
    <xf numFmtId="168" fontId="4" fillId="0" borderId="0" xfId="0" applyNumberFormat="1" applyFont="1"/>
    <xf numFmtId="0" fontId="0" fillId="3" borderId="0" xfId="0" applyFill="1"/>
    <xf numFmtId="164" fontId="6" fillId="4" borderId="0" xfId="0" applyNumberFormat="1" applyFont="1" applyFill="1"/>
    <xf numFmtId="0" fontId="6" fillId="0" borderId="0" xfId="0" applyFont="1"/>
    <xf numFmtId="170" fontId="6" fillId="0" borderId="0" xfId="0" applyNumberFormat="1" applyFont="1"/>
    <xf numFmtId="164" fontId="8" fillId="0" borderId="0" xfId="0" applyNumberFormat="1" applyFont="1"/>
    <xf numFmtId="0" fontId="2" fillId="2" borderId="0" xfId="0" applyFont="1" applyFill="1"/>
    <xf numFmtId="0" fontId="4" fillId="5" borderId="0" xfId="0" applyFont="1" applyFill="1"/>
    <xf numFmtId="171" fontId="5" fillId="0" borderId="0" xfId="0" applyNumberFormat="1" applyFont="1"/>
    <xf numFmtId="1" fontId="5" fillId="0" borderId="0" xfId="0" applyNumberFormat="1" applyFont="1"/>
    <xf numFmtId="168" fontId="5" fillId="0" borderId="0" xfId="0" applyNumberFormat="1" applyFont="1"/>
    <xf numFmtId="172" fontId="6" fillId="0" borderId="0" xfId="0" applyNumberFormat="1" applyFont="1"/>
    <xf numFmtId="172" fontId="8" fillId="0" borderId="0" xfId="0" applyNumberFormat="1" applyFont="1"/>
    <xf numFmtId="171" fontId="8" fillId="0" borderId="0" xfId="0" applyNumberFormat="1" applyFont="1"/>
    <xf numFmtId="168" fontId="8" fillId="0" borderId="0" xfId="0" applyNumberFormat="1" applyFont="1"/>
    <xf numFmtId="168" fontId="2" fillId="2" borderId="0" xfId="0" applyNumberFormat="1" applyFont="1" applyFill="1"/>
    <xf numFmtId="0" fontId="9" fillId="0" borderId="0" xfId="0" applyFont="1"/>
    <xf numFmtId="0" fontId="10" fillId="3" borderId="0" xfId="0" applyFont="1" applyFill="1"/>
    <xf numFmtId="168" fontId="8" fillId="3" borderId="0" xfId="0" applyNumberFormat="1" applyFont="1" applyFill="1"/>
    <xf numFmtId="0" fontId="11" fillId="0" borderId="0" xfId="0" applyFont="1"/>
    <xf numFmtId="0" fontId="12" fillId="0" borderId="0" xfId="0" applyFont="1"/>
    <xf numFmtId="165" fontId="4" fillId="0" borderId="0" xfId="0" applyNumberFormat="1" applyFont="1"/>
    <xf numFmtId="0" fontId="13" fillId="5" borderId="0" xfId="0" applyFont="1" applyFill="1"/>
    <xf numFmtId="168" fontId="13" fillId="5" borderId="0" xfId="0" applyNumberFormat="1" applyFont="1" applyFill="1"/>
    <xf numFmtId="3" fontId="12" fillId="0" borderId="0" xfId="0" applyNumberFormat="1" applyFont="1"/>
    <xf numFmtId="173" fontId="7" fillId="4" borderId="0" xfId="0" applyNumberFormat="1" applyFont="1" applyFill="1"/>
    <xf numFmtId="174" fontId="7" fillId="4" borderId="0" xfId="0" applyNumberFormat="1" applyFont="1" applyFill="1"/>
    <xf numFmtId="3" fontId="7" fillId="4" borderId="0" xfId="0" applyNumberFormat="1" applyFont="1" applyFill="1"/>
    <xf numFmtId="174" fontId="12" fillId="0" borderId="0" xfId="0" applyNumberFormat="1" applyFont="1"/>
    <xf numFmtId="173" fontId="12" fillId="0" borderId="0" xfId="0" applyNumberFormat="1" applyFont="1"/>
    <xf numFmtId="0" fontId="10" fillId="6" borderId="0" xfId="0" applyFont="1" applyFill="1"/>
    <xf numFmtId="3" fontId="10" fillId="6" borderId="0" xfId="0" applyNumberFormat="1" applyFont="1" applyFill="1"/>
    <xf numFmtId="0" fontId="0" fillId="6" borderId="0" xfId="0" applyFill="1"/>
    <xf numFmtId="173" fontId="10" fillId="6" borderId="0" xfId="0" applyNumberFormat="1" applyFont="1" applyFill="1"/>
    <xf numFmtId="164" fontId="4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169" fontId="5" fillId="0" borderId="0" xfId="0" applyNumberFormat="1" applyFont="1"/>
    <xf numFmtId="167" fontId="4" fillId="0" borderId="0" xfId="0" applyNumberFormat="1" applyFont="1"/>
    <xf numFmtId="165" fontId="5" fillId="0" borderId="0" xfId="0" applyNumberFormat="1" applyFont="1"/>
    <xf numFmtId="175" fontId="6" fillId="4" borderId="0" xfId="0" applyNumberFormat="1" applyFont="1" applyFill="1"/>
    <xf numFmtId="168" fontId="6" fillId="4" borderId="0" xfId="0" applyNumberFormat="1" applyFont="1" applyFill="1"/>
    <xf numFmtId="169" fontId="4" fillId="7" borderId="0" xfId="0" applyNumberFormat="1" applyFont="1" applyFill="1"/>
    <xf numFmtId="176" fontId="6" fillId="0" borderId="0" xfId="0" applyNumberFormat="1" applyFont="1"/>
    <xf numFmtId="0" fontId="14" fillId="0" borderId="0" xfId="0" applyFont="1"/>
    <xf numFmtId="0" fontId="15" fillId="0" borderId="0" xfId="0" applyFont="1"/>
    <xf numFmtId="176" fontId="6" fillId="3" borderId="0" xfId="0" applyNumberFormat="1" applyFont="1" applyFill="1"/>
    <xf numFmtId="176" fontId="5" fillId="3" borderId="0" xfId="0" applyNumberFormat="1" applyFont="1" applyFill="1"/>
    <xf numFmtId="176" fontId="4" fillId="5" borderId="0" xfId="0" applyNumberFormat="1" applyFont="1" applyFill="1"/>
    <xf numFmtId="0" fontId="6" fillId="7" borderId="0" xfId="0" applyFont="1" applyFill="1"/>
    <xf numFmtId="176" fontId="5" fillId="0" borderId="0" xfId="0" applyNumberFormat="1" applyFont="1"/>
    <xf numFmtId="176" fontId="6" fillId="7" borderId="0" xfId="0" applyNumberFormat="1" applyFont="1" applyFill="1"/>
    <xf numFmtId="0" fontId="16" fillId="2" borderId="0" xfId="0" applyFont="1" applyFill="1" applyAlignment="1">
      <alignment horizontal="left" vertical="center"/>
    </xf>
    <xf numFmtId="0" fontId="17" fillId="0" borderId="0" xfId="0" applyFont="1"/>
    <xf numFmtId="0" fontId="10" fillId="5" borderId="0" xfId="0" applyFont="1" applyFill="1"/>
    <xf numFmtId="176" fontId="7" fillId="0" borderId="0" xfId="0" applyNumberFormat="1" applyFont="1"/>
    <xf numFmtId="0" fontId="10" fillId="0" borderId="0" xfId="0" applyFont="1"/>
    <xf numFmtId="176" fontId="7" fillId="7" borderId="0" xfId="0" applyNumberFormat="1" applyFont="1" applyFill="1"/>
    <xf numFmtId="176" fontId="12" fillId="0" borderId="0" xfId="0" applyNumberFormat="1" applyFont="1"/>
    <xf numFmtId="0" fontId="7" fillId="7" borderId="0" xfId="0" applyFont="1" applyFill="1"/>
    <xf numFmtId="0" fontId="18" fillId="0" borderId="0" xfId="0" applyFont="1"/>
    <xf numFmtId="9" fontId="1" fillId="0" borderId="0" xfId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3" borderId="0" xfId="0" applyFont="1" applyFill="1"/>
    <xf numFmtId="9" fontId="19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vus.io/pricing" TargetMode="External"/><Relationship Id="rId2" Type="http://schemas.openxmlformats.org/officeDocument/2006/relationships/hyperlink" Target="https://www.heygen.com/pricing" TargetMode="External"/><Relationship Id="rId1" Type="http://schemas.openxmlformats.org/officeDocument/2006/relationships/hyperlink" Target="https://www.simli.com/pricing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4.vml"/><Relationship Id="rId3" Type="http://schemas.openxmlformats.org/officeDocument/2006/relationships/hyperlink" Target="https://deepgram.com/pricing" TargetMode="External"/><Relationship Id="rId7" Type="http://schemas.openxmlformats.org/officeDocument/2006/relationships/hyperlink" Target="https://elevenlabs.io/pricing" TargetMode="External"/><Relationship Id="rId2" Type="http://schemas.openxmlformats.org/officeDocument/2006/relationships/hyperlink" Target="https://deepgram.com/pricing" TargetMode="External"/><Relationship Id="rId1" Type="http://schemas.openxmlformats.org/officeDocument/2006/relationships/hyperlink" Target="https://azure.microsoft.com/en-us/pricing/details/speech/" TargetMode="External"/><Relationship Id="rId6" Type="http://schemas.openxmlformats.org/officeDocument/2006/relationships/hyperlink" Target="https://elevenlabs.io/pricing" TargetMode="External"/><Relationship Id="rId5" Type="http://schemas.openxmlformats.org/officeDocument/2006/relationships/hyperlink" Target="https://platform.openai.com/docs/pricing" TargetMode="External"/><Relationship Id="rId4" Type="http://schemas.openxmlformats.org/officeDocument/2006/relationships/hyperlink" Target="https://azure.microsoft.com/en-us/pricing/details/speech/" TargetMode="External"/><Relationship Id="rId9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eechace.com/" TargetMode="External"/><Relationship Id="rId2" Type="http://schemas.openxmlformats.org/officeDocument/2006/relationships/hyperlink" Target="https://azure.microsoft.com/en-us/pricing/details/speech/" TargetMode="External"/><Relationship Id="rId1" Type="http://schemas.openxmlformats.org/officeDocument/2006/relationships/hyperlink" Target="https://azure.microsoft.com/en-us/pricing/details/speech/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ude.com/pricing" TargetMode="External"/><Relationship Id="rId2" Type="http://schemas.openxmlformats.org/officeDocument/2006/relationships/hyperlink" Target="https://claude.com/pricing" TargetMode="External"/><Relationship Id="rId1" Type="http://schemas.openxmlformats.org/officeDocument/2006/relationships/hyperlink" Target="https://claude.com/pricing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zoomScaleNormal="100" workbookViewId="0">
      <selection activeCell="D25" sqref="D25"/>
    </sheetView>
  </sheetViews>
  <sheetFormatPr baseColWidth="10" defaultColWidth="8.6640625" defaultRowHeight="15" x14ac:dyDescent="0.2"/>
  <cols>
    <col min="1" max="1" width="45" customWidth="1"/>
    <col min="2" max="3" width="14" customWidth="1"/>
    <col min="4" max="4" width="45" customWidth="1"/>
  </cols>
  <sheetData>
    <row r="1" spans="1:4" ht="15" customHeight="1" x14ac:dyDescent="0.2">
      <c r="A1" s="78" t="s">
        <v>0</v>
      </c>
      <c r="B1" s="78"/>
      <c r="C1" s="78"/>
      <c r="D1" s="78"/>
    </row>
    <row r="2" spans="1:4" ht="15" customHeight="1" x14ac:dyDescent="0.2">
      <c r="A2" s="79" t="s">
        <v>1</v>
      </c>
      <c r="B2" s="79"/>
      <c r="C2" s="79"/>
      <c r="D2" s="79"/>
    </row>
    <row r="4" spans="1:4" ht="15" customHeight="1" x14ac:dyDescent="0.2">
      <c r="A4" s="1" t="s">
        <v>2</v>
      </c>
    </row>
    <row r="5" spans="1:4" ht="15" customHeight="1" x14ac:dyDescent="0.2">
      <c r="A5" s="3" t="s">
        <v>3</v>
      </c>
      <c r="B5" s="4">
        <v>30</v>
      </c>
    </row>
    <row r="6" spans="1:4" ht="15" customHeight="1" x14ac:dyDescent="0.2">
      <c r="A6" s="3" t="s">
        <v>4</v>
      </c>
      <c r="B6" s="5">
        <v>0.15</v>
      </c>
    </row>
    <row r="7" spans="1:4" ht="15" customHeight="1" x14ac:dyDescent="0.2">
      <c r="A7" s="3" t="s">
        <v>5</v>
      </c>
      <c r="B7" s="5">
        <v>0.05</v>
      </c>
    </row>
    <row r="8" spans="1:4" ht="15" customHeight="1" x14ac:dyDescent="0.2">
      <c r="A8" s="3" t="s">
        <v>6</v>
      </c>
      <c r="B8" s="5">
        <v>0.3</v>
      </c>
    </row>
    <row r="9" spans="1:4" ht="15" customHeight="1" x14ac:dyDescent="0.2">
      <c r="A9" s="3" t="s">
        <v>7</v>
      </c>
      <c r="B9" s="4">
        <v>10</v>
      </c>
    </row>
    <row r="10" spans="1:4" ht="15" customHeight="1" x14ac:dyDescent="0.2">
      <c r="A10" t="s">
        <v>8</v>
      </c>
      <c r="B10" s="6">
        <v>1</v>
      </c>
    </row>
    <row r="11" spans="1:4" ht="15" customHeight="1" x14ac:dyDescent="0.2">
      <c r="A11" s="1" t="s">
        <v>9</v>
      </c>
    </row>
    <row r="12" spans="1:4" ht="15" customHeight="1" x14ac:dyDescent="0.2">
      <c r="A12" s="3" t="s">
        <v>10</v>
      </c>
      <c r="B12" s="7">
        <v>0</v>
      </c>
    </row>
    <row r="13" spans="1:4" ht="15" customHeight="1" x14ac:dyDescent="0.2">
      <c r="A13" s="3" t="s">
        <v>11</v>
      </c>
      <c r="B13" s="7">
        <v>19</v>
      </c>
    </row>
    <row r="14" spans="1:4" ht="15" customHeight="1" x14ac:dyDescent="0.2">
      <c r="A14" s="3" t="s">
        <v>12</v>
      </c>
      <c r="B14" s="8">
        <v>49</v>
      </c>
    </row>
    <row r="15" spans="1:4" ht="15" customHeight="1" x14ac:dyDescent="0.2">
      <c r="A15" s="3" t="s">
        <v>13</v>
      </c>
      <c r="B15" s="8">
        <v>80</v>
      </c>
    </row>
    <row r="16" spans="1:4" ht="15" customHeight="1" x14ac:dyDescent="0.2">
      <c r="A16" s="3" t="s">
        <v>14</v>
      </c>
      <c r="B16" s="5">
        <v>2.5000000000000001E-2</v>
      </c>
    </row>
    <row r="17" spans="1:2" ht="15" customHeight="1" x14ac:dyDescent="0.2"/>
    <row r="18" spans="1:2" ht="15" customHeight="1" x14ac:dyDescent="0.2">
      <c r="A18" s="1" t="s">
        <v>15</v>
      </c>
    </row>
    <row r="19" spans="1:2" ht="15" customHeight="1" x14ac:dyDescent="0.2">
      <c r="A19" s="3" t="s">
        <v>16</v>
      </c>
      <c r="B19" s="9">
        <v>10</v>
      </c>
    </row>
    <row r="20" spans="1:2" ht="15" customHeight="1" x14ac:dyDescent="0.2">
      <c r="A20" s="3" t="s">
        <v>17</v>
      </c>
      <c r="B20" s="9">
        <v>5.8</v>
      </c>
    </row>
    <row r="21" spans="1:2" ht="15" customHeight="1" x14ac:dyDescent="0.2">
      <c r="A21" s="3" t="s">
        <v>18</v>
      </c>
      <c r="B21" s="10">
        <v>0.1</v>
      </c>
    </row>
    <row r="22" spans="1:2" ht="15" customHeight="1" x14ac:dyDescent="0.2">
      <c r="A22" s="3" t="s">
        <v>19</v>
      </c>
      <c r="B22" s="10">
        <v>0.5</v>
      </c>
    </row>
    <row r="23" spans="1:2" ht="15" customHeight="1" x14ac:dyDescent="0.2"/>
    <row r="24" spans="1:2" ht="15" customHeight="1" x14ac:dyDescent="0.2">
      <c r="A24" s="1" t="s">
        <v>20</v>
      </c>
    </row>
    <row r="25" spans="1:2" ht="15" customHeight="1" x14ac:dyDescent="0.2">
      <c r="A25" s="3" t="s">
        <v>21</v>
      </c>
      <c r="B25" s="11">
        <f>'Content Generation'!B34</f>
        <v>557329.92000000004</v>
      </c>
    </row>
    <row r="26" spans="1:2" ht="15" customHeight="1" x14ac:dyDescent="0.2">
      <c r="A26" s="3" t="s">
        <v>22</v>
      </c>
      <c r="B26" s="12">
        <v>600000</v>
      </c>
    </row>
    <row r="27" spans="1:2" ht="15" customHeight="1" x14ac:dyDescent="0.2">
      <c r="A27" s="3" t="s">
        <v>23</v>
      </c>
      <c r="B27" s="12">
        <v>400000</v>
      </c>
    </row>
    <row r="28" spans="1:2" ht="15" customHeight="1" x14ac:dyDescent="0.2">
      <c r="A28" s="3" t="s">
        <v>24</v>
      </c>
      <c r="B28" s="12">
        <v>250000</v>
      </c>
    </row>
    <row r="29" spans="1:2" ht="15" customHeight="1" x14ac:dyDescent="0.2">
      <c r="A29" s="13" t="s">
        <v>25</v>
      </c>
      <c r="B29" s="14">
        <f>SUM(B25:B28)</f>
        <v>1807329.92</v>
      </c>
    </row>
    <row r="30" spans="1:2" ht="15" customHeight="1" x14ac:dyDescent="0.2">
      <c r="A30" s="13" t="s">
        <v>26</v>
      </c>
      <c r="B30" s="15">
        <f>Assumptions!$B$29/Assumptions!$B$41</f>
        <v>1.6960678678678679E-2</v>
      </c>
    </row>
    <row r="31" spans="1:2" ht="15" customHeight="1" x14ac:dyDescent="0.2"/>
    <row r="32" spans="1:2" ht="15" customHeight="1" x14ac:dyDescent="0.2">
      <c r="A32" s="1" t="s">
        <v>27</v>
      </c>
      <c r="B32" s="16"/>
    </row>
    <row r="33" spans="1:4" ht="15" customHeight="1" x14ac:dyDescent="0.2">
      <c r="A33" s="3" t="s">
        <v>28</v>
      </c>
      <c r="B33" s="17">
        <v>2</v>
      </c>
    </row>
    <row r="34" spans="1:4" ht="15" customHeight="1" x14ac:dyDescent="0.2">
      <c r="A34" s="3" t="s">
        <v>29</v>
      </c>
      <c r="B34" s="17">
        <v>6</v>
      </c>
    </row>
    <row r="35" spans="1:4" ht="15" customHeight="1" x14ac:dyDescent="0.2">
      <c r="A35" s="3" t="s">
        <v>30</v>
      </c>
      <c r="B35" s="17">
        <v>999</v>
      </c>
    </row>
    <row r="36" spans="1:4" ht="15" customHeight="1" x14ac:dyDescent="0.2">
      <c r="A36" s="3" t="s">
        <v>31</v>
      </c>
      <c r="B36" s="17">
        <v>1999</v>
      </c>
    </row>
    <row r="37" spans="1:4" ht="15" customHeight="1" x14ac:dyDescent="0.2">
      <c r="A37" s="3" t="s">
        <v>32</v>
      </c>
      <c r="B37" s="18" t="s">
        <v>33</v>
      </c>
    </row>
    <row r="39" spans="1:4" ht="15" customHeight="1" x14ac:dyDescent="0.2">
      <c r="A39" s="80" t="s">
        <v>34</v>
      </c>
      <c r="B39" s="80"/>
      <c r="C39" s="80"/>
      <c r="D39" s="80"/>
    </row>
    <row r="40" spans="1:4" ht="15" customHeight="1" x14ac:dyDescent="0.2">
      <c r="A40" s="3" t="s">
        <v>35</v>
      </c>
      <c r="B40" s="19">
        <v>0.92</v>
      </c>
    </row>
    <row r="41" spans="1:4" ht="15" customHeight="1" x14ac:dyDescent="0.2">
      <c r="A41" s="3" t="s">
        <v>36</v>
      </c>
      <c r="B41" s="20">
        <f>'User &amp; Revenue Model'!F27</f>
        <v>106560000</v>
      </c>
    </row>
  </sheetData>
  <mergeCells count="3">
    <mergeCell ref="A1:D1"/>
    <mergeCell ref="A2:D2"/>
    <mergeCell ref="A39:D3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zoomScaleNormal="100" workbookViewId="0">
      <selection activeCell="G49" sqref="G49"/>
    </sheetView>
  </sheetViews>
  <sheetFormatPr baseColWidth="10" defaultColWidth="8.6640625" defaultRowHeight="15" x14ac:dyDescent="0.2"/>
  <cols>
    <col min="1" max="1" width="32" customWidth="1"/>
    <col min="2" max="2" width="22" customWidth="1"/>
    <col min="3" max="5" width="14" customWidth="1"/>
    <col min="6" max="6" width="12" customWidth="1"/>
    <col min="7" max="9" width="14" customWidth="1"/>
    <col min="11" max="13" width="13" customWidth="1"/>
  </cols>
  <sheetData>
    <row r="1" spans="1:13" ht="15" customHeight="1" x14ac:dyDescent="0.2">
      <c r="A1" s="78" t="s">
        <v>37</v>
      </c>
      <c r="B1" s="78"/>
      <c r="C1" s="78"/>
      <c r="D1" s="78"/>
      <c r="E1" s="78"/>
      <c r="F1" s="78"/>
      <c r="G1" s="78"/>
      <c r="H1" s="78"/>
      <c r="I1" s="78"/>
    </row>
    <row r="2" spans="1:13" ht="15" customHeight="1" x14ac:dyDescent="0.2">
      <c r="A2" s="79" t="s">
        <v>362</v>
      </c>
      <c r="B2" s="79"/>
      <c r="C2" s="79"/>
      <c r="D2" s="79"/>
      <c r="E2" s="79"/>
      <c r="F2" s="79"/>
      <c r="G2" s="79"/>
      <c r="H2" s="79"/>
      <c r="I2" s="79"/>
    </row>
    <row r="4" spans="1:13" ht="15" customHeight="1" x14ac:dyDescent="0.2">
      <c r="A4" s="21" t="s">
        <v>38</v>
      </c>
      <c r="B4" s="21" t="s">
        <v>39</v>
      </c>
      <c r="C4" s="21" t="s">
        <v>40</v>
      </c>
      <c r="D4" s="21" t="s">
        <v>41</v>
      </c>
      <c r="E4" s="21" t="s">
        <v>42</v>
      </c>
      <c r="F4" s="21" t="s">
        <v>43</v>
      </c>
      <c r="G4" s="21" t="s">
        <v>44</v>
      </c>
      <c r="H4" s="21" t="s">
        <v>45</v>
      </c>
      <c r="I4" s="21" t="s">
        <v>46</v>
      </c>
      <c r="K4" s="22" t="s">
        <v>47</v>
      </c>
      <c r="L4" s="22" t="s">
        <v>48</v>
      </c>
      <c r="M4" s="22" t="s">
        <v>49</v>
      </c>
    </row>
    <row r="5" spans="1:13" ht="15" customHeight="1" x14ac:dyDescent="0.2">
      <c r="A5" t="s">
        <v>50</v>
      </c>
      <c r="B5" t="s">
        <v>51</v>
      </c>
      <c r="C5" s="23">
        <f>L5</f>
        <v>0</v>
      </c>
      <c r="D5" s="24">
        <f>1</f>
        <v>1</v>
      </c>
      <c r="E5" s="24">
        <f>1</f>
        <v>1</v>
      </c>
      <c r="F5" s="24">
        <f>1</f>
        <v>1</v>
      </c>
      <c r="G5" s="25">
        <f t="shared" ref="G5:I6" si="0">K5*D5</f>
        <v>0</v>
      </c>
      <c r="H5" s="25">
        <f t="shared" si="0"/>
        <v>0</v>
      </c>
      <c r="I5" s="25">
        <f t="shared" si="0"/>
        <v>0</v>
      </c>
      <c r="K5" s="23">
        <v>0</v>
      </c>
      <c r="L5" s="23">
        <v>0</v>
      </c>
      <c r="M5" s="23">
        <v>0</v>
      </c>
    </row>
    <row r="6" spans="1:13" ht="15" customHeight="1" x14ac:dyDescent="0.2">
      <c r="A6" t="s">
        <v>52</v>
      </c>
      <c r="B6" t="s">
        <v>53</v>
      </c>
      <c r="C6" s="23">
        <f>L6</f>
        <v>5.5200000000000006E-3</v>
      </c>
      <c r="D6" s="26">
        <v>5</v>
      </c>
      <c r="E6" s="26">
        <f>Assumptions!$B$9</f>
        <v>10</v>
      </c>
      <c r="F6" s="27">
        <f>Assumptions!$B$9</f>
        <v>10</v>
      </c>
      <c r="G6" s="25">
        <f t="shared" si="0"/>
        <v>9.1999999999999998E-3</v>
      </c>
      <c r="H6" s="25">
        <f t="shared" si="0"/>
        <v>5.5200000000000006E-2</v>
      </c>
      <c r="I6" s="25">
        <f t="shared" si="0"/>
        <v>5.5200000000000006E-2</v>
      </c>
      <c r="K6" s="28">
        <f>'Tool — LLM'!$C$14*Assumptions!$B$40</f>
        <v>1.8400000000000001E-3</v>
      </c>
      <c r="L6" s="28">
        <f>'Tool — LLM'!$C$15*Assumptions!$B$40</f>
        <v>5.5200000000000006E-3</v>
      </c>
      <c r="M6" s="28">
        <f>'Tool — LLM'!$C$16*Assumptions!$B$40</f>
        <v>5.5200000000000006E-3</v>
      </c>
    </row>
    <row r="7" spans="1:13" ht="15" customHeight="1" x14ac:dyDescent="0.2">
      <c r="A7" t="s">
        <v>54</v>
      </c>
      <c r="B7" t="s">
        <v>55</v>
      </c>
      <c r="C7" s="23">
        <f>L7</f>
        <v>3.8639999999999998E-3</v>
      </c>
      <c r="D7" s="27">
        <f>Assumptions!$B$6*Assumptions!$B$5</f>
        <v>4.5</v>
      </c>
      <c r="E7" s="27">
        <f>Assumptions!$B$6*Assumptions!$B$5</f>
        <v>4.5</v>
      </c>
      <c r="F7" s="27">
        <f>Assumptions!$B$6*Assumptions!$B$5</f>
        <v>4.5</v>
      </c>
      <c r="G7" s="25">
        <f>K7*D7*IF('Tool — Avatar'!$B$18="Talkio.ai",0,1)</f>
        <v>1.7388000000000001E-2</v>
      </c>
      <c r="H7" s="25">
        <f>L7*E7*IF('Tool — Avatar'!$B$19="Talkio.ai",0,1)</f>
        <v>1.7388000000000001E-2</v>
      </c>
      <c r="I7" s="25">
        <f>M7*F7*IF('Tool — Avatar'!$B$20="Talkio.ai",0,1)</f>
        <v>1.7388000000000001E-2</v>
      </c>
      <c r="K7" s="28">
        <f>'Tool — Voice AI'!$C$14*Assumptions!$B$40</f>
        <v>3.8639999999999998E-3</v>
      </c>
      <c r="L7" s="28">
        <f>'Tool — Voice AI'!$C$15*Assumptions!$B$40</f>
        <v>3.8639999999999998E-3</v>
      </c>
      <c r="M7" s="28">
        <f>'Tool — Voice AI'!$C$16*Assumptions!$B$40</f>
        <v>3.8639999999999998E-3</v>
      </c>
    </row>
    <row r="8" spans="1:13" ht="15" customHeight="1" x14ac:dyDescent="0.2">
      <c r="A8" t="s">
        <v>56</v>
      </c>
      <c r="B8" t="s">
        <v>57</v>
      </c>
      <c r="C8" s="23">
        <f>L8</f>
        <v>9.1999999999999998E-3</v>
      </c>
      <c r="D8" s="26">
        <v>0</v>
      </c>
      <c r="E8" s="27">
        <f>Assumptions!$B$8*Assumptions!$B$5</f>
        <v>9</v>
      </c>
      <c r="F8" s="27">
        <f>Assumptions!$B$8*Assumptions!$B$5</f>
        <v>9</v>
      </c>
      <c r="G8" s="25">
        <f t="shared" ref="G8:I10" si="1">K8*D8</f>
        <v>0</v>
      </c>
      <c r="H8" s="25">
        <f t="shared" si="1"/>
        <v>8.2799999999999999E-2</v>
      </c>
      <c r="I8" s="25">
        <f t="shared" si="1"/>
        <v>8.2799999999999999E-2</v>
      </c>
      <c r="K8" s="28">
        <f>'Tool — Avatar'!$C$18*Assumptions!$B$40</f>
        <v>9.1999999999999998E-3</v>
      </c>
      <c r="L8" s="28">
        <f>'Tool — Avatar'!$C$19*Assumptions!$B$40</f>
        <v>9.1999999999999998E-3</v>
      </c>
      <c r="M8" s="28">
        <f>'Tool — Avatar'!$C$20*Assumptions!$B$40</f>
        <v>9.1999999999999998E-3</v>
      </c>
    </row>
    <row r="9" spans="1:13" ht="15" customHeight="1" x14ac:dyDescent="0.2">
      <c r="A9" t="s">
        <v>58</v>
      </c>
      <c r="B9" t="s">
        <v>59</v>
      </c>
      <c r="C9" s="29">
        <f>(Assumptions!$B$19+Assumptions!$B$20)*(1+Assumptions!$B$21/(1-Assumptions!$B$21)*Assumptions!$B$22)</f>
        <v>16.677777777777777</v>
      </c>
      <c r="D9" s="26">
        <v>0</v>
      </c>
      <c r="E9" s="26">
        <v>0</v>
      </c>
      <c r="F9" s="26"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K9" s="23">
        <f>$C$9</f>
        <v>16.677777777777777</v>
      </c>
      <c r="L9" s="23">
        <f>$C$9</f>
        <v>16.677777777777777</v>
      </c>
      <c r="M9" s="23">
        <f>$C$9</f>
        <v>16.677777777777777</v>
      </c>
    </row>
    <row r="10" spans="1:13" ht="15" customHeight="1" x14ac:dyDescent="0.2">
      <c r="A10" t="s">
        <v>60</v>
      </c>
      <c r="B10" t="s">
        <v>61</v>
      </c>
      <c r="C10" s="23">
        <f>L10</f>
        <v>4.5999999999999999E-3</v>
      </c>
      <c r="D10" s="26">
        <f>Assumptions!$B$10*D7</f>
        <v>4.5</v>
      </c>
      <c r="E10" s="26">
        <f>Assumptions!$B$10*E7</f>
        <v>4.5</v>
      </c>
      <c r="F10" s="26">
        <f>Assumptions!$B$10*F7</f>
        <v>4.5</v>
      </c>
      <c r="G10" s="25">
        <f t="shared" si="1"/>
        <v>2.07E-2</v>
      </c>
      <c r="H10" s="25">
        <f t="shared" si="1"/>
        <v>2.07E-2</v>
      </c>
      <c r="I10" s="25">
        <f t="shared" si="1"/>
        <v>2.07E-2</v>
      </c>
      <c r="K10" s="28">
        <f>'Tool — Pronunciation'!$C$13*Assumptions!$B$40</f>
        <v>4.5999999999999999E-3</v>
      </c>
      <c r="L10" s="28">
        <f>'Tool — Pronunciation'!$C$14*Assumptions!$B$40</f>
        <v>4.5999999999999999E-3</v>
      </c>
      <c r="M10" s="28">
        <f>'Tool — Pronunciation'!$C$15*Assumptions!$B$40</f>
        <v>4.5999999999999999E-3</v>
      </c>
    </row>
    <row r="11" spans="1:13" ht="15" customHeight="1" x14ac:dyDescent="0.2">
      <c r="A11" t="s">
        <v>62</v>
      </c>
      <c r="B11" t="s">
        <v>55</v>
      </c>
      <c r="C11" s="23">
        <f>L11</f>
        <v>1.38E-2</v>
      </c>
      <c r="D11" s="27">
        <f>Assumptions!$B$7*Assumptions!$B$5</f>
        <v>1.5</v>
      </c>
      <c r="E11" s="27">
        <f>Assumptions!$B$6*Assumptions!$B$5</f>
        <v>4.5</v>
      </c>
      <c r="F11" s="27">
        <f>Assumptions!$B$6*Assumptions!$B$5</f>
        <v>4.5</v>
      </c>
      <c r="G11" s="25">
        <f>K11*D11*IF('Tool — Avatar'!$B$18="Talkio.ai",0,1)</f>
        <v>9.3150000000000004E-3</v>
      </c>
      <c r="H11" s="25">
        <f>L11*E11*IF('Tool — Avatar'!$B$19="Talkio.ai",0,1)</f>
        <v>6.2100000000000002E-2</v>
      </c>
      <c r="I11" s="25">
        <f>M11*F11*IF('Tool — Avatar'!$B$20="Talkio.ai",0,1)</f>
        <v>0.20700000000000002</v>
      </c>
      <c r="K11" s="28">
        <f>'Tool — Voice AI'!$C$28*Assumptions!$B$40</f>
        <v>6.2100000000000002E-3</v>
      </c>
      <c r="L11" s="28">
        <f>'Tool — Voice AI'!$C$29*Assumptions!$B$40</f>
        <v>1.38E-2</v>
      </c>
      <c r="M11" s="28">
        <f>'Tool — Voice AI'!$C$30*Assumptions!$B$40</f>
        <v>4.6000000000000006E-2</v>
      </c>
    </row>
    <row r="12" spans="1:13" ht="15" customHeight="1" x14ac:dyDescent="0.2">
      <c r="A12" t="s">
        <v>63</v>
      </c>
      <c r="B12" t="s">
        <v>64</v>
      </c>
      <c r="C12" s="23">
        <f>L12</f>
        <v>0</v>
      </c>
      <c r="D12" s="29">
        <v>0</v>
      </c>
      <c r="E12" s="29">
        <v>0</v>
      </c>
      <c r="F12" s="29">
        <v>0</v>
      </c>
      <c r="G12" s="25">
        <f>K12*D12</f>
        <v>0</v>
      </c>
      <c r="H12" s="25">
        <f>L12*E12</f>
        <v>0</v>
      </c>
      <c r="I12" s="25">
        <f>M12*F12</f>
        <v>0</v>
      </c>
      <c r="K12" s="23">
        <v>0</v>
      </c>
      <c r="L12" s="23">
        <v>0</v>
      </c>
      <c r="M12" s="23">
        <v>0</v>
      </c>
    </row>
    <row r="13" spans="1:13" ht="15" customHeight="1" x14ac:dyDescent="0.2">
      <c r="A13" s="21" t="s">
        <v>65</v>
      </c>
      <c r="G13" s="30">
        <f>SUM(G5:G12)</f>
        <v>5.6603000000000001E-2</v>
      </c>
      <c r="H13" s="30">
        <f>SUM(H5:H12)</f>
        <v>0.23818800000000001</v>
      </c>
      <c r="I13" s="30">
        <f>SUM(I5:I12)</f>
        <v>0.38308800000000004</v>
      </c>
    </row>
    <row r="14" spans="1:13" ht="15" customHeight="1" x14ac:dyDescent="0.2">
      <c r="A14" t="s">
        <v>66</v>
      </c>
      <c r="G14" s="28">
        <f>'Content Generation'!$B$34/Assumptions!$B$41</f>
        <v>5.2301981981981984E-3</v>
      </c>
      <c r="H14" s="28">
        <f>'Content Generation'!$B$34/Assumptions!$B$41</f>
        <v>5.2301981981981984E-3</v>
      </c>
      <c r="I14" s="28">
        <f>'Content Generation'!$B$34/Assumptions!$B$41</f>
        <v>5.2301981981981984E-3</v>
      </c>
    </row>
    <row r="15" spans="1:13" ht="15" customHeight="1" x14ac:dyDescent="0.2">
      <c r="A15" s="1" t="s">
        <v>67</v>
      </c>
      <c r="G15" s="15">
        <f>G13+G14</f>
        <v>6.18331981981982E-2</v>
      </c>
      <c r="H15" s="15">
        <f>H13+H14</f>
        <v>0.24341819819819821</v>
      </c>
      <c r="I15" s="15">
        <f>I13+I14</f>
        <v>0.38831819819819824</v>
      </c>
    </row>
    <row r="16" spans="1:13" ht="15" customHeight="1" x14ac:dyDescent="0.2">
      <c r="G16" s="29"/>
      <c r="H16" s="29"/>
      <c r="I16" s="29"/>
    </row>
    <row r="17" spans="1:13" ht="15" customHeight="1" x14ac:dyDescent="0.2">
      <c r="A17" s="31" t="s">
        <v>68</v>
      </c>
    </row>
    <row r="18" spans="1:13" ht="15" customHeight="1" x14ac:dyDescent="0.2">
      <c r="A18" s="21"/>
      <c r="G18" s="30"/>
      <c r="H18" s="30"/>
      <c r="I18" s="30"/>
    </row>
    <row r="20" spans="1:13" ht="15" customHeight="1" x14ac:dyDescent="0.2">
      <c r="A20" s="32" t="s">
        <v>69</v>
      </c>
      <c r="B20" s="16"/>
      <c r="C20" s="16"/>
      <c r="D20" s="16"/>
      <c r="E20" s="16"/>
      <c r="F20" s="16"/>
      <c r="G20" s="33"/>
      <c r="H20" s="33"/>
      <c r="I20" s="33"/>
      <c r="J20" s="16"/>
      <c r="K20" s="16"/>
      <c r="L20" s="16"/>
      <c r="M20" s="16"/>
    </row>
    <row r="21" spans="1:13" ht="15" customHeight="1" x14ac:dyDescent="0.2">
      <c r="A21" s="34" t="s">
        <v>70</v>
      </c>
      <c r="G21" s="15"/>
      <c r="H21" s="15"/>
      <c r="I21" s="15"/>
    </row>
    <row r="22" spans="1:13" ht="15" customHeight="1" x14ac:dyDescent="0.2">
      <c r="A22" s="35" t="s">
        <v>71</v>
      </c>
      <c r="B22" s="6">
        <v>0.16</v>
      </c>
      <c r="G22" s="36"/>
      <c r="H22" s="36"/>
      <c r="I22" s="36"/>
    </row>
    <row r="23" spans="1:13" ht="15" customHeight="1" x14ac:dyDescent="0.2">
      <c r="A23" s="37" t="s">
        <v>72</v>
      </c>
      <c r="B23" s="37" t="s">
        <v>73</v>
      </c>
      <c r="C23" s="37" t="s">
        <v>74</v>
      </c>
      <c r="D23" s="37" t="s">
        <v>75</v>
      </c>
      <c r="E23" s="37" t="s">
        <v>76</v>
      </c>
      <c r="F23" s="37" t="s">
        <v>77</v>
      </c>
      <c r="G23" s="38" t="s">
        <v>78</v>
      </c>
      <c r="H23" s="38" t="s">
        <v>79</v>
      </c>
      <c r="I23" s="38" t="s">
        <v>80</v>
      </c>
      <c r="J23" s="37" t="s">
        <v>81</v>
      </c>
      <c r="K23" s="37" t="s">
        <v>82</v>
      </c>
      <c r="L23" s="37" t="s">
        <v>83</v>
      </c>
      <c r="M23" s="37" t="s">
        <v>84</v>
      </c>
    </row>
    <row r="24" spans="1:13" ht="15" customHeight="1" x14ac:dyDescent="0.2">
      <c r="A24" s="35" t="s">
        <v>85</v>
      </c>
      <c r="B24" s="39">
        <v>800</v>
      </c>
      <c r="C24" s="40">
        <v>0</v>
      </c>
      <c r="D24" s="41">
        <v>2</v>
      </c>
      <c r="E24" s="41">
        <v>0</v>
      </c>
      <c r="F24" s="42">
        <v>8</v>
      </c>
      <c r="G24" s="43">
        <f>IFERROR(C24/F24,0)</f>
        <v>0</v>
      </c>
      <c r="H24" s="43">
        <f>IFERROR((D24+E24)/F24,0)</f>
        <v>0.25</v>
      </c>
      <c r="I24" s="44">
        <f>B24*C24</f>
        <v>0</v>
      </c>
      <c r="J24" s="44">
        <f>B24*(D24+E24)</f>
        <v>1600</v>
      </c>
      <c r="K24" s="44">
        <f>I24*$B$22</f>
        <v>0</v>
      </c>
      <c r="L24" s="44">
        <f>I24-J24-K24</f>
        <v>-1600</v>
      </c>
      <c r="M24" s="44">
        <f>C24*16.5</f>
        <v>0</v>
      </c>
    </row>
    <row r="25" spans="1:13" ht="15" customHeight="1" x14ac:dyDescent="0.2">
      <c r="A25" s="35" t="s">
        <v>86</v>
      </c>
      <c r="B25" s="39">
        <v>60</v>
      </c>
      <c r="C25" s="40">
        <v>19</v>
      </c>
      <c r="D25" s="41">
        <v>2</v>
      </c>
      <c r="E25" s="41">
        <v>0</v>
      </c>
      <c r="F25" s="42">
        <v>10</v>
      </c>
      <c r="G25" s="43">
        <f>IFERROR(C25/F25,0)</f>
        <v>1.9</v>
      </c>
      <c r="H25" s="43">
        <f>IFERROR((D25+E25)/F25,0)</f>
        <v>0.2</v>
      </c>
      <c r="I25" s="44">
        <f>B25*C25</f>
        <v>1140</v>
      </c>
      <c r="J25" s="44">
        <f>B25*(D25+E25)</f>
        <v>120</v>
      </c>
      <c r="K25" s="44">
        <f>I25*$B$22</f>
        <v>182.4</v>
      </c>
      <c r="L25" s="44">
        <f>I25-J25-K25</f>
        <v>837.6</v>
      </c>
      <c r="M25" s="44">
        <f>C25*16.5</f>
        <v>313.5</v>
      </c>
    </row>
    <row r="26" spans="1:13" ht="15" customHeight="1" x14ac:dyDescent="0.2">
      <c r="A26" s="35" t="s">
        <v>87</v>
      </c>
      <c r="B26" s="39">
        <v>60</v>
      </c>
      <c r="C26" s="40">
        <v>49</v>
      </c>
      <c r="D26" s="41">
        <v>2</v>
      </c>
      <c r="E26" s="41">
        <v>3.75</v>
      </c>
      <c r="F26" s="42">
        <v>12</v>
      </c>
      <c r="G26" s="43">
        <f>IFERROR(C26/F26,0)</f>
        <v>4.083333333333333</v>
      </c>
      <c r="H26" s="43">
        <f>IFERROR((D26+E26)/F26,0)</f>
        <v>0.47916666666666669</v>
      </c>
      <c r="I26" s="44">
        <f>B26*C26</f>
        <v>2940</v>
      </c>
      <c r="J26" s="44">
        <f>B26*(D26+E26)</f>
        <v>345</v>
      </c>
      <c r="K26" s="44">
        <f>I26*$B$22</f>
        <v>470.40000000000003</v>
      </c>
      <c r="L26" s="44">
        <f>I26-J26-K26</f>
        <v>2124.6</v>
      </c>
      <c r="M26" s="44">
        <f>C26*16.5</f>
        <v>808.5</v>
      </c>
    </row>
    <row r="27" spans="1:13" ht="15" customHeight="1" x14ac:dyDescent="0.2">
      <c r="A27" s="35" t="s">
        <v>88</v>
      </c>
      <c r="B27" s="39">
        <v>40</v>
      </c>
      <c r="C27" s="40">
        <v>40</v>
      </c>
      <c r="D27" s="41">
        <v>2</v>
      </c>
      <c r="E27" s="41">
        <v>5</v>
      </c>
      <c r="F27" s="42">
        <v>10</v>
      </c>
      <c r="G27" s="43">
        <f>IFERROR(C27/F27,0)</f>
        <v>4</v>
      </c>
      <c r="H27" s="43">
        <f>IFERROR((D27+E27)/F27,0)</f>
        <v>0.7</v>
      </c>
      <c r="I27" s="44">
        <f>B27*C27</f>
        <v>1600</v>
      </c>
      <c r="J27" s="44">
        <f>B27*(D27+E27)</f>
        <v>280</v>
      </c>
      <c r="K27" s="44">
        <f>I27*$B$22</f>
        <v>256</v>
      </c>
      <c r="L27" s="44">
        <f>I27-J27-K27</f>
        <v>1064</v>
      </c>
      <c r="M27" s="44">
        <f>C27*16.5</f>
        <v>660</v>
      </c>
    </row>
    <row r="28" spans="1:13" ht="15" customHeight="1" x14ac:dyDescent="0.2">
      <c r="A28" s="35" t="s">
        <v>89</v>
      </c>
      <c r="B28" s="39">
        <v>40</v>
      </c>
      <c r="C28" s="40">
        <v>100</v>
      </c>
      <c r="D28" s="41">
        <v>2</v>
      </c>
      <c r="E28" s="41">
        <v>15</v>
      </c>
      <c r="F28" s="42">
        <v>15</v>
      </c>
      <c r="G28" s="43">
        <f>IFERROR(C28/F28,0)</f>
        <v>6.666666666666667</v>
      </c>
      <c r="H28" s="43">
        <f>IFERROR((D28+E28)/F28,0)</f>
        <v>1.1333333333333333</v>
      </c>
      <c r="I28" s="44">
        <f>B28*C28</f>
        <v>4000</v>
      </c>
      <c r="J28" s="44">
        <f>B28*(D28+E28)</f>
        <v>680</v>
      </c>
      <c r="K28" s="44">
        <f>I28*$B$22</f>
        <v>640</v>
      </c>
      <c r="L28" s="44">
        <f>I28-J28-K28</f>
        <v>2680</v>
      </c>
      <c r="M28" s="44">
        <f>C28*16.5</f>
        <v>1650</v>
      </c>
    </row>
    <row r="29" spans="1:13" ht="15" customHeight="1" x14ac:dyDescent="0.2">
      <c r="A29" s="45" t="s">
        <v>90</v>
      </c>
      <c r="B29" s="46">
        <f>SUM(B24:B28)</f>
        <v>1000</v>
      </c>
      <c r="C29" s="47"/>
      <c r="D29" s="47"/>
      <c r="E29" s="47"/>
      <c r="F29" s="47"/>
      <c r="G29" s="47"/>
      <c r="H29" s="47"/>
      <c r="I29" s="48">
        <f>SUM(I24:I28)</f>
        <v>9680</v>
      </c>
      <c r="J29" s="48">
        <f>SUM(J24:J28)</f>
        <v>3025</v>
      </c>
      <c r="K29" s="48">
        <f>SUM(K24:K28)</f>
        <v>1548.8000000000002</v>
      </c>
      <c r="L29" s="48">
        <f>SUM(L24:L28)</f>
        <v>5106.2</v>
      </c>
      <c r="M29" s="47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tabSelected="1" topLeftCell="A14" zoomScale="97" zoomScaleNormal="97" workbookViewId="0">
      <selection activeCell="E37" sqref="E37"/>
    </sheetView>
  </sheetViews>
  <sheetFormatPr baseColWidth="10" defaultColWidth="8.83203125" defaultRowHeight="15" x14ac:dyDescent="0.2"/>
  <cols>
    <col min="1" max="1" width="34" customWidth="1"/>
    <col min="2" max="6" width="15" customWidth="1"/>
    <col min="7" max="7" width="31.6640625" customWidth="1"/>
    <col min="8" max="8" width="17" customWidth="1"/>
    <col min="9" max="9" width="13.83203125" customWidth="1"/>
  </cols>
  <sheetData>
    <row r="1" spans="1:6" ht="15.75" customHeight="1" x14ac:dyDescent="0.2">
      <c r="A1" s="21" t="s">
        <v>91</v>
      </c>
    </row>
    <row r="2" spans="1:6" ht="15" customHeight="1" x14ac:dyDescent="0.2">
      <c r="A2" s="31" t="s">
        <v>92</v>
      </c>
    </row>
    <row r="4" spans="1:6" ht="15" customHeight="1" x14ac:dyDescent="0.2">
      <c r="A4" s="1" t="s">
        <v>93</v>
      </c>
      <c r="B4" s="16"/>
      <c r="C4" s="16"/>
      <c r="D4" s="16"/>
      <c r="E4" s="16"/>
      <c r="F4" s="16"/>
    </row>
    <row r="5" spans="1:6" ht="15" customHeight="1" x14ac:dyDescent="0.2">
      <c r="A5" s="3" t="s">
        <v>94</v>
      </c>
      <c r="B5" s="17">
        <v>1000000</v>
      </c>
      <c r="C5" s="31" t="s">
        <v>95</v>
      </c>
    </row>
    <row r="6" spans="1:6" ht="15" customHeight="1" x14ac:dyDescent="0.2">
      <c r="A6" s="3" t="s">
        <v>96</v>
      </c>
      <c r="B6" s="10">
        <v>0.2</v>
      </c>
      <c r="C6" s="31" t="s">
        <v>97</v>
      </c>
    </row>
    <row r="7" spans="1:6" ht="15" customHeight="1" x14ac:dyDescent="0.2">
      <c r="A7" s="13" t="s">
        <v>98</v>
      </c>
      <c r="B7" s="49">
        <f>B5*B6</f>
        <v>200000</v>
      </c>
    </row>
    <row r="8" spans="1:6" ht="15" customHeight="1" x14ac:dyDescent="0.2">
      <c r="A8" s="3" t="s">
        <v>99</v>
      </c>
      <c r="B8" s="10">
        <v>0.3</v>
      </c>
      <c r="C8" s="31" t="s">
        <v>100</v>
      </c>
    </row>
    <row r="9" spans="1:6" ht="15" customHeight="1" x14ac:dyDescent="0.2">
      <c r="A9" s="3" t="s">
        <v>101</v>
      </c>
      <c r="B9" s="50">
        <f>B7*(1-B8)</f>
        <v>140000</v>
      </c>
    </row>
    <row r="10" spans="1:6" ht="15" customHeight="1" x14ac:dyDescent="0.2">
      <c r="A10" s="3" t="s">
        <v>102</v>
      </c>
      <c r="B10" s="50">
        <f>B7*B8</f>
        <v>60000</v>
      </c>
    </row>
    <row r="11" spans="1:6" ht="15" customHeight="1" x14ac:dyDescent="0.2">
      <c r="A11" s="3" t="s">
        <v>103</v>
      </c>
      <c r="B11" s="50">
        <f>B5-B7</f>
        <v>800000</v>
      </c>
      <c r="C11" s="31" t="s">
        <v>104</v>
      </c>
    </row>
    <row r="12" spans="1:6" ht="15" customHeight="1" x14ac:dyDescent="0.2">
      <c r="A12" s="3" t="s">
        <v>105</v>
      </c>
      <c r="B12" s="17">
        <v>500000</v>
      </c>
      <c r="C12" s="31" t="s">
        <v>106</v>
      </c>
    </row>
    <row r="13" spans="1:6" ht="15" customHeight="1" x14ac:dyDescent="0.2">
      <c r="A13" s="13" t="s">
        <v>107</v>
      </c>
      <c r="B13" s="49">
        <f>B11+B9+B10+B12</f>
        <v>1500000</v>
      </c>
    </row>
    <row r="15" spans="1:6" ht="15" customHeight="1" x14ac:dyDescent="0.2">
      <c r="A15" s="1" t="s">
        <v>108</v>
      </c>
      <c r="B15" s="16"/>
      <c r="C15" s="16"/>
      <c r="D15" s="16"/>
      <c r="E15" s="16"/>
      <c r="F15" s="16"/>
    </row>
    <row r="16" spans="1:6" ht="15" customHeight="1" x14ac:dyDescent="0.2">
      <c r="A16" s="3" t="s">
        <v>109</v>
      </c>
      <c r="B16" s="29">
        <f>'Feature Cost Build'!G15</f>
        <v>6.18331981981982E-2</v>
      </c>
    </row>
    <row r="17" spans="1:9" ht="15" customHeight="1" x14ac:dyDescent="0.2">
      <c r="A17" s="3" t="s">
        <v>110</v>
      </c>
      <c r="B17" s="29">
        <f>'Feature Cost Build'!H15</f>
        <v>0.24341819819819821</v>
      </c>
    </row>
    <row r="18" spans="1:9" ht="15" customHeight="1" x14ac:dyDescent="0.2">
      <c r="A18" s="3" t="s">
        <v>111</v>
      </c>
      <c r="B18" s="29">
        <f>'Feature Cost Build'!I15</f>
        <v>0.38831819819819824</v>
      </c>
    </row>
    <row r="19" spans="1:9" ht="15" customHeight="1" x14ac:dyDescent="0.2">
      <c r="A19" s="3" t="s">
        <v>112</v>
      </c>
      <c r="B19" s="29">
        <f>'Feature Cost Build'!C9</f>
        <v>16.677777777777777</v>
      </c>
      <c r="C19" s="31" t="s">
        <v>113</v>
      </c>
    </row>
    <row r="21" spans="1:9" ht="15" customHeight="1" x14ac:dyDescent="0.2">
      <c r="A21" s="1" t="s">
        <v>114</v>
      </c>
      <c r="B21" s="16"/>
      <c r="C21" s="16"/>
      <c r="D21" s="16"/>
      <c r="E21" s="16"/>
      <c r="F21" s="16"/>
    </row>
    <row r="22" spans="1:9" ht="15" customHeight="1" x14ac:dyDescent="0.2">
      <c r="A22" s="22"/>
      <c r="B22" s="22" t="s">
        <v>85</v>
      </c>
      <c r="C22" s="22" t="s">
        <v>86</v>
      </c>
      <c r="D22" s="22" t="s">
        <v>87</v>
      </c>
      <c r="E22" s="22" t="s">
        <v>115</v>
      </c>
      <c r="F22" s="22" t="s">
        <v>116</v>
      </c>
    </row>
    <row r="23" spans="1:9" ht="15" customHeight="1" x14ac:dyDescent="0.2">
      <c r="A23" s="13" t="s">
        <v>117</v>
      </c>
      <c r="B23" s="49">
        <f>B11</f>
        <v>800000</v>
      </c>
      <c r="C23" s="49">
        <f>B9</f>
        <v>140000</v>
      </c>
      <c r="D23" s="49">
        <f>B10</f>
        <v>60000</v>
      </c>
      <c r="E23" s="49">
        <f>B12</f>
        <v>500000</v>
      </c>
      <c r="F23" s="49">
        <f>SUM(B23:E23)</f>
        <v>1500000</v>
      </c>
    </row>
    <row r="24" spans="1:9" ht="15" customHeight="1" x14ac:dyDescent="0.2">
      <c r="A24" s="3" t="s">
        <v>118</v>
      </c>
      <c r="B24" s="51">
        <v>0</v>
      </c>
      <c r="C24" s="51">
        <f>Assumptions!B13</f>
        <v>19</v>
      </c>
      <c r="D24" s="51">
        <f>Assumptions!B14</f>
        <v>49</v>
      </c>
      <c r="E24" s="51">
        <v>150</v>
      </c>
      <c r="G24" s="31"/>
    </row>
    <row r="25" spans="1:9" ht="15" customHeight="1" x14ac:dyDescent="0.2">
      <c r="A25" s="3" t="s">
        <v>119</v>
      </c>
      <c r="B25" s="17">
        <v>5</v>
      </c>
      <c r="C25" s="17">
        <v>10</v>
      </c>
      <c r="D25" s="17">
        <v>8</v>
      </c>
      <c r="E25" s="17">
        <v>6</v>
      </c>
      <c r="G25" s="31" t="s">
        <v>120</v>
      </c>
    </row>
    <row r="26" spans="1:9" ht="15" customHeight="1" x14ac:dyDescent="0.2">
      <c r="A26" s="3" t="s">
        <v>121</v>
      </c>
      <c r="B26" s="17">
        <v>0</v>
      </c>
      <c r="C26" s="17">
        <v>0</v>
      </c>
      <c r="D26" s="17">
        <v>2</v>
      </c>
      <c r="E26" s="17">
        <v>2</v>
      </c>
      <c r="G26" s="31" t="s">
        <v>122</v>
      </c>
      <c r="H26" t="s">
        <v>366</v>
      </c>
      <c r="I26" t="s">
        <v>367</v>
      </c>
    </row>
    <row r="27" spans="1:9" ht="15" customHeight="1" x14ac:dyDescent="0.2">
      <c r="A27" s="3" t="s">
        <v>123</v>
      </c>
      <c r="B27" s="50">
        <f>B23*B25*12</f>
        <v>48000000</v>
      </c>
      <c r="C27" s="50">
        <f>C23*C25*12</f>
        <v>16800000</v>
      </c>
      <c r="D27" s="50">
        <f>D23*D25*12</f>
        <v>5760000</v>
      </c>
      <c r="E27" s="50">
        <f>E23*E25*12</f>
        <v>36000000</v>
      </c>
      <c r="F27" s="49">
        <f>SUM(B27:E27)</f>
        <v>106560000</v>
      </c>
      <c r="H27">
        <f>SUM(C27:E27)*30</f>
        <v>1756800000</v>
      </c>
      <c r="I27">
        <f>H27/Assumptions!B8</f>
        <v>5856000000</v>
      </c>
    </row>
    <row r="28" spans="1:9" ht="15" customHeight="1" x14ac:dyDescent="0.2">
      <c r="A28" s="3" t="s">
        <v>124</v>
      </c>
      <c r="B28" s="50">
        <f>B23*B26*12</f>
        <v>0</v>
      </c>
      <c r="C28" s="50">
        <f>C23*C26*12</f>
        <v>0</v>
      </c>
      <c r="D28" s="50">
        <f>D23*D26*12</f>
        <v>1440000</v>
      </c>
      <c r="E28" s="50">
        <f>E23*E26*12</f>
        <v>12000000</v>
      </c>
      <c r="F28" s="49">
        <f>SUM(B28:E28)</f>
        <v>13440000</v>
      </c>
    </row>
    <row r="29" spans="1:9" ht="15" customHeight="1" x14ac:dyDescent="0.2">
      <c r="A29" s="3" t="s">
        <v>125</v>
      </c>
      <c r="B29" s="25">
        <f>$B$16</f>
        <v>6.18331981981982E-2</v>
      </c>
      <c r="C29" s="25">
        <f>$B$17</f>
        <v>0.24341819819819821</v>
      </c>
      <c r="D29" s="25">
        <f>$B$18</f>
        <v>0.38831819819819824</v>
      </c>
      <c r="E29" s="25">
        <f>$B$18</f>
        <v>0.38831819819819824</v>
      </c>
    </row>
    <row r="30" spans="1:9" ht="15" customHeight="1" x14ac:dyDescent="0.2">
      <c r="A30" s="3" t="s">
        <v>126</v>
      </c>
      <c r="B30" s="52">
        <f>B27*B29</f>
        <v>2967993.5135135134</v>
      </c>
      <c r="C30" s="52">
        <f>C27*C29</f>
        <v>4089425.7297297297</v>
      </c>
      <c r="D30" s="52">
        <f>D27*D29</f>
        <v>2236712.821621622</v>
      </c>
      <c r="E30" s="52">
        <f>E27*E29</f>
        <v>13979455.135135137</v>
      </c>
      <c r="F30" s="14">
        <f>SUM(B30:E30)</f>
        <v>23273587.200000003</v>
      </c>
      <c r="G30" s="81">
        <f>F30/B40</f>
        <v>2.6155270255691015E-2</v>
      </c>
      <c r="H30" t="s">
        <v>368</v>
      </c>
    </row>
    <row r="31" spans="1:9" ht="15" customHeight="1" x14ac:dyDescent="0.2">
      <c r="A31" s="3" t="s">
        <v>127</v>
      </c>
      <c r="B31" s="52">
        <f>B28*$B$19</f>
        <v>0</v>
      </c>
      <c r="C31" s="52">
        <f>C28*$B$19</f>
        <v>0</v>
      </c>
      <c r="D31" s="52">
        <f>D28*$B$19</f>
        <v>24016000</v>
      </c>
      <c r="E31" s="52">
        <f>E28*$B$19</f>
        <v>200133333.33333331</v>
      </c>
      <c r="F31" s="14">
        <f>SUM(B31:E31)</f>
        <v>224149333.33333331</v>
      </c>
    </row>
    <row r="32" spans="1:9" ht="15" customHeight="1" x14ac:dyDescent="0.2">
      <c r="A32" s="13" t="s">
        <v>128</v>
      </c>
      <c r="B32" s="14">
        <f>B30+B31</f>
        <v>2967993.5135135134</v>
      </c>
      <c r="C32" s="14">
        <f>C30+C31</f>
        <v>4089425.7297297297</v>
      </c>
      <c r="D32" s="14">
        <f>D30+D31</f>
        <v>26252712.821621623</v>
      </c>
      <c r="E32" s="14">
        <f>E30+E31</f>
        <v>214112788.46846846</v>
      </c>
      <c r="F32" s="14">
        <f>SUM(B32:E32)</f>
        <v>247422920.53333333</v>
      </c>
    </row>
    <row r="33" spans="1:6" ht="15" customHeight="1" x14ac:dyDescent="0.2">
      <c r="A33" s="3" t="s">
        <v>129</v>
      </c>
      <c r="B33" s="51">
        <v>0</v>
      </c>
      <c r="C33" s="51">
        <f>C23*C24*12</f>
        <v>31920000</v>
      </c>
      <c r="D33" s="51">
        <f>D23*D24*12</f>
        <v>35280000</v>
      </c>
      <c r="E33" s="51">
        <f>E23*E24*12</f>
        <v>900000000</v>
      </c>
      <c r="F33" s="53">
        <f>SUM(B33:E33)</f>
        <v>967200000</v>
      </c>
    </row>
    <row r="34" spans="1:6" ht="15" customHeight="1" x14ac:dyDescent="0.2">
      <c r="A34" s="13" t="s">
        <v>130</v>
      </c>
      <c r="B34" s="14">
        <f>B33*Assumptions!$B$40</f>
        <v>0</v>
      </c>
      <c r="C34" s="14">
        <f>C33*Assumptions!$B$40</f>
        <v>29366400</v>
      </c>
      <c r="D34" s="14">
        <f>D33*Assumptions!$B$40</f>
        <v>32457600</v>
      </c>
      <c r="E34" s="14">
        <f>E33*Assumptions!$B$40</f>
        <v>828000000</v>
      </c>
      <c r="F34" s="14">
        <f>SUM(B34:E34)</f>
        <v>889824000</v>
      </c>
    </row>
    <row r="35" spans="1:6" ht="15" customHeight="1" x14ac:dyDescent="0.2">
      <c r="A35" s="3" t="s">
        <v>131</v>
      </c>
      <c r="B35" s="14">
        <f>B34-B32</f>
        <v>-2967993.5135135134</v>
      </c>
      <c r="C35" s="14">
        <f>C34-C32</f>
        <v>25276974.270270269</v>
      </c>
      <c r="D35" s="14">
        <f>D34-D32</f>
        <v>6204887.1783783771</v>
      </c>
      <c r="E35" s="14">
        <f>E34-E32</f>
        <v>613887211.53153157</v>
      </c>
      <c r="F35" s="14"/>
    </row>
    <row r="36" spans="1:6" x14ac:dyDescent="0.2">
      <c r="A36" s="13" t="s">
        <v>132</v>
      </c>
      <c r="B36" t="s">
        <v>133</v>
      </c>
      <c r="C36" s="76">
        <f>1-C32/C34</f>
        <v>0.8607447378728843</v>
      </c>
      <c r="D36" s="76">
        <f t="shared" ref="D36:E36" si="0">1-D32/D34</f>
        <v>0.19116900751683352</v>
      </c>
      <c r="E36" s="76">
        <f t="shared" si="0"/>
        <v>0.74140967576271932</v>
      </c>
    </row>
    <row r="37" spans="1:6" x14ac:dyDescent="0.2">
      <c r="A37" s="13"/>
      <c r="C37" s="76">
        <f>C30/C34</f>
        <v>0.13925526212711567</v>
      </c>
      <c r="D37" s="76">
        <f>D30/D34</f>
        <v>6.8911836414942015E-2</v>
      </c>
      <c r="E37" s="76">
        <f>E30/E34</f>
        <v>1.6883399921660793E-2</v>
      </c>
    </row>
    <row r="38" spans="1:6" x14ac:dyDescent="0.2">
      <c r="A38" s="13"/>
    </row>
    <row r="39" spans="1:6" ht="15" customHeight="1" x14ac:dyDescent="0.2">
      <c r="A39" s="1" t="s">
        <v>134</v>
      </c>
      <c r="B39" s="16"/>
      <c r="C39" s="16"/>
      <c r="D39" s="16"/>
      <c r="E39" s="16"/>
      <c r="F39" s="16"/>
    </row>
    <row r="40" spans="1:6" ht="15" customHeight="1" x14ac:dyDescent="0.2">
      <c r="A40" s="13" t="s">
        <v>135</v>
      </c>
      <c r="B40" s="14">
        <f>F34</f>
        <v>889824000</v>
      </c>
      <c r="D40" s="77" t="s">
        <v>136</v>
      </c>
      <c r="E40">
        <f>(B40/F23)/12</f>
        <v>49.434666666666665</v>
      </c>
    </row>
    <row r="41" spans="1:6" ht="15" customHeight="1" x14ac:dyDescent="0.2">
      <c r="A41" s="3" t="s">
        <v>137</v>
      </c>
      <c r="B41" s="52">
        <f>B40*Assumptions!B16</f>
        <v>22245600</v>
      </c>
      <c r="C41" s="31" t="s">
        <v>138</v>
      </c>
    </row>
    <row r="42" spans="1:6" ht="15" customHeight="1" x14ac:dyDescent="0.2">
      <c r="A42" s="13" t="s">
        <v>139</v>
      </c>
      <c r="B42" s="14">
        <f>B40-B41</f>
        <v>867578400</v>
      </c>
    </row>
    <row r="43" spans="1:6" ht="15" customHeight="1" x14ac:dyDescent="0.2">
      <c r="A43" s="3" t="s">
        <v>140</v>
      </c>
      <c r="B43" s="52">
        <f>F32</f>
        <v>247422920.53333333</v>
      </c>
    </row>
    <row r="44" spans="1:6" ht="15" customHeight="1" x14ac:dyDescent="0.2">
      <c r="A44" s="13" t="s">
        <v>141</v>
      </c>
      <c r="B44" s="14">
        <f>B42-B43</f>
        <v>620155479.4666667</v>
      </c>
    </row>
    <row r="45" spans="1:6" ht="15" customHeight="1" x14ac:dyDescent="0.2">
      <c r="A45" s="3" t="s">
        <v>142</v>
      </c>
      <c r="B45" s="54">
        <f>IF(B42=0,0,B44/B42)</f>
        <v>0.71481203251102921</v>
      </c>
    </row>
    <row r="46" spans="1:6" ht="15" customHeight="1" x14ac:dyDescent="0.2">
      <c r="A46" s="3" t="s">
        <v>143</v>
      </c>
      <c r="B46" s="11">
        <f>Assumptions!B29-Assumptions!B25</f>
        <v>1250000</v>
      </c>
      <c r="C46" s="31" t="s">
        <v>144</v>
      </c>
    </row>
    <row r="47" spans="1:6" ht="15" customHeight="1" x14ac:dyDescent="0.2">
      <c r="A47" s="13" t="s">
        <v>145</v>
      </c>
      <c r="B47" s="14">
        <f>B44-B46</f>
        <v>618905479.4666667</v>
      </c>
    </row>
    <row r="48" spans="1:6" ht="15" customHeight="1" x14ac:dyDescent="0.2">
      <c r="A48" s="13" t="s">
        <v>146</v>
      </c>
      <c r="B48" s="36">
        <f>IF(B42=0,0,B47/B42)</f>
        <v>0.71337124053188361</v>
      </c>
    </row>
    <row r="50" spans="1:6" ht="15" customHeight="1" x14ac:dyDescent="0.2">
      <c r="A50" s="1" t="s">
        <v>147</v>
      </c>
      <c r="B50" s="16"/>
      <c r="C50" s="16"/>
      <c r="D50" s="16"/>
      <c r="E50" s="16"/>
      <c r="F50" s="16"/>
    </row>
    <row r="51" spans="1:6" ht="15" customHeight="1" x14ac:dyDescent="0.2">
      <c r="A51" s="3" t="s">
        <v>148</v>
      </c>
      <c r="B51" s="50">
        <f>B13</f>
        <v>1500000</v>
      </c>
    </row>
    <row r="52" spans="1:6" ht="15" customHeight="1" x14ac:dyDescent="0.2">
      <c r="A52" s="3" t="s">
        <v>98</v>
      </c>
      <c r="B52" s="50">
        <f>B9+B10</f>
        <v>200000</v>
      </c>
    </row>
    <row r="53" spans="1:6" ht="15" customHeight="1" x14ac:dyDescent="0.2">
      <c r="A53" s="3" t="s">
        <v>149</v>
      </c>
      <c r="B53" s="51">
        <f>IF((B9+B10+B12)=0,0,F33/(B9+B10+B12))</f>
        <v>1381.7142857142858</v>
      </c>
    </row>
    <row r="54" spans="1:6" ht="15" customHeight="1" x14ac:dyDescent="0.2">
      <c r="A54" s="3" t="s">
        <v>150</v>
      </c>
      <c r="B54" s="50">
        <f>F27+F28</f>
        <v>120000000</v>
      </c>
    </row>
    <row r="55" spans="1:6" ht="15" customHeight="1" x14ac:dyDescent="0.2">
      <c r="A55" s="3" t="s">
        <v>151</v>
      </c>
      <c r="B55" s="50">
        <f>(B23*(B25+B26)+C23*(C25+C26)+D23*(D25+D26)+E23*(E25+E26))/30</f>
        <v>333333.33333333331</v>
      </c>
      <c r="C55" s="31" t="s">
        <v>152</v>
      </c>
    </row>
    <row r="56" spans="1:6" ht="15" customHeight="1" x14ac:dyDescent="0.2">
      <c r="A56" s="3" t="s">
        <v>153</v>
      </c>
      <c r="B56" s="52">
        <f>B43+B46+B41</f>
        <v>270918520.5333333</v>
      </c>
    </row>
    <row r="57" spans="1:6" ht="15" customHeight="1" x14ac:dyDescent="0.2">
      <c r="A57" s="3" t="s">
        <v>154</v>
      </c>
      <c r="B57" s="25">
        <f>B56/B13</f>
        <v>180.6123470222222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zoomScaleNormal="100" workbookViewId="0">
      <selection activeCell="H28" sqref="H28"/>
    </sheetView>
  </sheetViews>
  <sheetFormatPr baseColWidth="10" defaultColWidth="8.83203125" defaultRowHeight="15" x14ac:dyDescent="0.2"/>
  <cols>
    <col min="1" max="1" width="42" customWidth="1"/>
    <col min="2" max="2" width="16" customWidth="1"/>
    <col min="3" max="3" width="52" customWidth="1"/>
  </cols>
  <sheetData>
    <row r="1" spans="1:3" ht="15.75" customHeight="1" x14ac:dyDescent="0.2">
      <c r="A1" s="21" t="s">
        <v>155</v>
      </c>
    </row>
    <row r="2" spans="1:3" ht="15" customHeight="1" x14ac:dyDescent="0.2">
      <c r="A2" s="31" t="s">
        <v>156</v>
      </c>
    </row>
    <row r="4" spans="1:3" ht="15" customHeight="1" x14ac:dyDescent="0.2">
      <c r="A4" s="1" t="s">
        <v>157</v>
      </c>
      <c r="B4" s="16"/>
      <c r="C4" s="16"/>
    </row>
    <row r="5" spans="1:3" ht="15" customHeight="1" x14ac:dyDescent="0.2">
      <c r="A5" s="3" t="s">
        <v>158</v>
      </c>
      <c r="B5" s="17">
        <v>12</v>
      </c>
      <c r="C5" s="31" t="s">
        <v>159</v>
      </c>
    </row>
    <row r="6" spans="1:3" ht="15" customHeight="1" x14ac:dyDescent="0.2">
      <c r="A6" s="3" t="s">
        <v>160</v>
      </c>
      <c r="B6" s="4">
        <v>6</v>
      </c>
      <c r="C6" s="31" t="s">
        <v>161</v>
      </c>
    </row>
    <row r="7" spans="1:3" ht="15" customHeight="1" x14ac:dyDescent="0.2">
      <c r="A7" s="3" t="s">
        <v>162</v>
      </c>
      <c r="B7" s="17">
        <v>50</v>
      </c>
      <c r="C7" s="31" t="s">
        <v>163</v>
      </c>
    </row>
    <row r="8" spans="1:3" ht="15" customHeight="1" x14ac:dyDescent="0.2">
      <c r="A8" s="13" t="s">
        <v>164</v>
      </c>
      <c r="B8" s="49">
        <f>B5*B6*B7</f>
        <v>3600</v>
      </c>
      <c r="C8" s="31" t="s">
        <v>165</v>
      </c>
    </row>
    <row r="10" spans="1:3" ht="15" customHeight="1" x14ac:dyDescent="0.2">
      <c r="A10" s="1" t="s">
        <v>166</v>
      </c>
      <c r="B10" s="16"/>
      <c r="C10" s="16"/>
    </row>
    <row r="11" spans="1:3" ht="15" customHeight="1" x14ac:dyDescent="0.2">
      <c r="A11" s="13" t="s">
        <v>167</v>
      </c>
    </row>
    <row r="12" spans="1:3" ht="15" customHeight="1" x14ac:dyDescent="0.2">
      <c r="A12" s="3" t="s">
        <v>168</v>
      </c>
      <c r="B12" s="17">
        <v>50000</v>
      </c>
      <c r="C12" s="31" t="s">
        <v>169</v>
      </c>
    </row>
    <row r="13" spans="1:3" ht="15" customHeight="1" x14ac:dyDescent="0.2">
      <c r="A13" s="3" t="s">
        <v>170</v>
      </c>
      <c r="B13" s="28">
        <f>'Tool — LLM'!$C$15*Assumptions!$B$40</f>
        <v>5.5200000000000006E-3</v>
      </c>
      <c r="C13" s="31" t="s">
        <v>171</v>
      </c>
    </row>
    <row r="14" spans="1:3" ht="15" customHeight="1" x14ac:dyDescent="0.2">
      <c r="A14" s="3" t="s">
        <v>172</v>
      </c>
      <c r="B14" s="25">
        <f>B12/1000*B13</f>
        <v>0.27600000000000002</v>
      </c>
      <c r="C14" s="31"/>
    </row>
    <row r="15" spans="1:3" ht="15" customHeight="1" x14ac:dyDescent="0.2">
      <c r="A15" s="13" t="s">
        <v>173</v>
      </c>
    </row>
    <row r="16" spans="1:3" ht="15" customHeight="1" x14ac:dyDescent="0.2">
      <c r="A16" s="3" t="s">
        <v>174</v>
      </c>
      <c r="B16" s="55">
        <v>4</v>
      </c>
      <c r="C16" s="31" t="s">
        <v>175</v>
      </c>
    </row>
    <row r="17" spans="1:3" ht="15" customHeight="1" x14ac:dyDescent="0.2">
      <c r="A17" s="3" t="s">
        <v>176</v>
      </c>
      <c r="B17" s="9">
        <v>60</v>
      </c>
      <c r="C17" s="31" t="s">
        <v>177</v>
      </c>
    </row>
    <row r="18" spans="1:3" ht="15" customHeight="1" x14ac:dyDescent="0.2">
      <c r="A18" s="3" t="s">
        <v>178</v>
      </c>
      <c r="B18" s="25">
        <f>B16*B17</f>
        <v>240</v>
      </c>
      <c r="C18" s="31" t="s">
        <v>179</v>
      </c>
    </row>
    <row r="19" spans="1:3" ht="15" customHeight="1" x14ac:dyDescent="0.2">
      <c r="A19" s="13" t="s">
        <v>180</v>
      </c>
    </row>
    <row r="20" spans="1:3" ht="15" customHeight="1" x14ac:dyDescent="0.2">
      <c r="A20" s="3" t="s">
        <v>181</v>
      </c>
      <c r="B20" s="56">
        <v>50</v>
      </c>
      <c r="C20" s="31" t="s">
        <v>182</v>
      </c>
    </row>
    <row r="21" spans="1:3" ht="15" customHeight="1" x14ac:dyDescent="0.2">
      <c r="A21" s="13" t="s">
        <v>183</v>
      </c>
      <c r="B21" s="15">
        <f>B14+B18+B20</f>
        <v>290.27600000000001</v>
      </c>
      <c r="C21" s="31" t="s">
        <v>184</v>
      </c>
    </row>
    <row r="23" spans="1:3" ht="15" customHeight="1" x14ac:dyDescent="0.2">
      <c r="A23" s="1" t="s">
        <v>185</v>
      </c>
      <c r="B23" s="16"/>
      <c r="C23" s="16"/>
    </row>
    <row r="24" spans="1:3" ht="15" customHeight="1" x14ac:dyDescent="0.2">
      <c r="A24" s="3" t="s">
        <v>186</v>
      </c>
      <c r="B24" s="14">
        <f>B8*B21</f>
        <v>1044993.6000000001</v>
      </c>
      <c r="C24" s="31" t="s">
        <v>187</v>
      </c>
    </row>
    <row r="25" spans="1:3" ht="15" customHeight="1" x14ac:dyDescent="0.2">
      <c r="A25" s="3" t="s">
        <v>188</v>
      </c>
      <c r="B25" s="17">
        <v>3</v>
      </c>
      <c r="C25" s="31" t="s">
        <v>189</v>
      </c>
    </row>
    <row r="26" spans="1:3" ht="15" customHeight="1" x14ac:dyDescent="0.2">
      <c r="A26" s="13" t="s">
        <v>190</v>
      </c>
      <c r="B26" s="14">
        <f>B24/B25</f>
        <v>348331.2</v>
      </c>
      <c r="C26" s="31" t="s">
        <v>191</v>
      </c>
    </row>
    <row r="28" spans="1:3" ht="15" customHeight="1" x14ac:dyDescent="0.2">
      <c r="A28" s="1" t="s">
        <v>192</v>
      </c>
      <c r="B28" s="16"/>
      <c r="C28" s="16"/>
    </row>
    <row r="29" spans="1:3" ht="15" customHeight="1" x14ac:dyDescent="0.2">
      <c r="A29" s="3" t="s">
        <v>193</v>
      </c>
      <c r="B29" s="10">
        <v>0.2</v>
      </c>
      <c r="C29" s="31" t="s">
        <v>194</v>
      </c>
    </row>
    <row r="30" spans="1:3" ht="15" customHeight="1" x14ac:dyDescent="0.2">
      <c r="A30" s="3" t="s">
        <v>195</v>
      </c>
      <c r="B30" s="50">
        <f>B8*B29</f>
        <v>720</v>
      </c>
      <c r="C30" s="31" t="s">
        <v>196</v>
      </c>
    </row>
    <row r="31" spans="1:3" ht="15" customHeight="1" x14ac:dyDescent="0.2">
      <c r="A31" s="13" t="s">
        <v>197</v>
      </c>
      <c r="B31" s="14">
        <f>B30*B21</f>
        <v>208998.72</v>
      </c>
      <c r="C31" s="31" t="s">
        <v>198</v>
      </c>
    </row>
    <row r="33" spans="1:3" ht="15" customHeight="1" x14ac:dyDescent="0.2">
      <c r="A33" s="1" t="s">
        <v>199</v>
      </c>
      <c r="B33" s="16"/>
      <c r="C33" s="16"/>
    </row>
    <row r="34" spans="1:3" ht="15" customHeight="1" x14ac:dyDescent="0.2">
      <c r="A34" s="13" t="s">
        <v>200</v>
      </c>
      <c r="B34" s="57">
        <f>B26+B31</f>
        <v>557329.92000000004</v>
      </c>
      <c r="C34" s="31" t="s">
        <v>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zoomScaleNormal="100" workbookViewId="0">
      <selection activeCell="B20" sqref="B20"/>
    </sheetView>
  </sheetViews>
  <sheetFormatPr baseColWidth="10" defaultColWidth="8.6640625" defaultRowHeight="15" x14ac:dyDescent="0.2"/>
  <cols>
    <col min="1" max="1" width="26" customWidth="1"/>
    <col min="2" max="3" width="22" customWidth="1"/>
    <col min="4" max="4" width="46" customWidth="1"/>
    <col min="5" max="5" width="42" customWidth="1"/>
  </cols>
  <sheetData>
    <row r="1" spans="1:5" ht="15" customHeight="1" x14ac:dyDescent="0.2">
      <c r="A1" s="2" t="s">
        <v>202</v>
      </c>
    </row>
    <row r="2" spans="1:5" ht="15" customHeight="1" x14ac:dyDescent="0.2">
      <c r="A2" s="31" t="s">
        <v>203</v>
      </c>
    </row>
    <row r="4" spans="1:5" ht="15" customHeight="1" x14ac:dyDescent="0.2">
      <c r="A4" s="1" t="s">
        <v>204</v>
      </c>
      <c r="B4" s="16"/>
      <c r="C4" s="16"/>
      <c r="D4" s="16"/>
    </row>
    <row r="5" spans="1:5" ht="15" customHeight="1" x14ac:dyDescent="0.2">
      <c r="A5" s="22" t="s">
        <v>205</v>
      </c>
      <c r="B5" s="22" t="s">
        <v>206</v>
      </c>
      <c r="C5" s="22" t="s">
        <v>207</v>
      </c>
      <c r="D5" s="22" t="s">
        <v>208</v>
      </c>
    </row>
    <row r="6" spans="1:5" ht="15" customHeight="1" x14ac:dyDescent="0.2">
      <c r="A6" s="3" t="s">
        <v>209</v>
      </c>
      <c r="B6" s="58">
        <v>0.01</v>
      </c>
      <c r="C6" s="3" t="s">
        <v>210</v>
      </c>
      <c r="D6" s="59" t="s">
        <v>211</v>
      </c>
    </row>
    <row r="7" spans="1:5" ht="15" customHeight="1" x14ac:dyDescent="0.2">
      <c r="A7" s="3" t="s">
        <v>212</v>
      </c>
      <c r="B7" s="58">
        <v>0.05</v>
      </c>
      <c r="C7" s="3" t="s">
        <v>210</v>
      </c>
      <c r="D7" s="34" t="s">
        <v>364</v>
      </c>
      <c r="E7" s="60" t="s">
        <v>213</v>
      </c>
    </row>
    <row r="8" spans="1:5" ht="15" customHeight="1" x14ac:dyDescent="0.2">
      <c r="A8" s="3" t="s">
        <v>214</v>
      </c>
      <c r="B8" s="58">
        <v>0.1</v>
      </c>
      <c r="C8" s="3" t="s">
        <v>210</v>
      </c>
      <c r="D8" s="34" t="s">
        <v>215</v>
      </c>
      <c r="E8" s="60" t="s">
        <v>216</v>
      </c>
    </row>
    <row r="9" spans="1:5" ht="15" customHeight="1" x14ac:dyDescent="0.2">
      <c r="A9" s="3" t="s">
        <v>365</v>
      </c>
      <c r="B9" s="58">
        <v>0.2</v>
      </c>
      <c r="C9" s="3" t="s">
        <v>210</v>
      </c>
      <c r="D9" s="59" t="s">
        <v>217</v>
      </c>
    </row>
    <row r="10" spans="1:5" ht="15" customHeight="1" x14ac:dyDescent="0.2">
      <c r="A10" s="3" t="s">
        <v>218</v>
      </c>
      <c r="B10" s="58">
        <v>0.19</v>
      </c>
      <c r="C10" s="3" t="s">
        <v>210</v>
      </c>
      <c r="D10" s="59" t="s">
        <v>219</v>
      </c>
    </row>
    <row r="11" spans="1:5" ht="15" customHeight="1" x14ac:dyDescent="0.2">
      <c r="A11" s="3" t="s">
        <v>220</v>
      </c>
      <c r="B11" s="58">
        <v>0.37</v>
      </c>
      <c r="C11" s="3" t="s">
        <v>210</v>
      </c>
      <c r="D11" s="34" t="s">
        <v>221</v>
      </c>
      <c r="E11" s="60" t="s">
        <v>222</v>
      </c>
    </row>
    <row r="12" spans="1:5" ht="15" customHeight="1" x14ac:dyDescent="0.2">
      <c r="A12" s="3" t="s">
        <v>223</v>
      </c>
      <c r="B12" s="58">
        <v>0.3</v>
      </c>
      <c r="C12" s="3" t="s">
        <v>210</v>
      </c>
      <c r="D12" s="59" t="s">
        <v>224</v>
      </c>
      <c r="E12" t="s">
        <v>363</v>
      </c>
    </row>
    <row r="13" spans="1:5" ht="15" customHeight="1" x14ac:dyDescent="0.2">
      <c r="A13" s="3" t="s">
        <v>225</v>
      </c>
      <c r="B13" s="58">
        <v>0.3</v>
      </c>
      <c r="C13" s="3" t="s">
        <v>210</v>
      </c>
      <c r="D13" s="34" t="s">
        <v>226</v>
      </c>
    </row>
    <row r="14" spans="1:5" ht="15" customHeight="1" x14ac:dyDescent="0.2">
      <c r="A14" s="3" t="s">
        <v>227</v>
      </c>
      <c r="B14" s="58">
        <v>5.0000000000000001E-3</v>
      </c>
      <c r="C14" s="3" t="s">
        <v>210</v>
      </c>
      <c r="D14" s="59" t="s">
        <v>228</v>
      </c>
    </row>
    <row r="15" spans="1:5" ht="15" customHeight="1" x14ac:dyDescent="0.2">
      <c r="A15" s="13"/>
      <c r="B15" s="13"/>
      <c r="C15" s="13"/>
    </row>
    <row r="16" spans="1:5" ht="15" customHeight="1" x14ac:dyDescent="0.2">
      <c r="A16" s="1" t="s">
        <v>229</v>
      </c>
      <c r="B16" s="61"/>
      <c r="C16" s="62"/>
      <c r="D16" s="16"/>
    </row>
    <row r="17" spans="1:3" ht="15" customHeight="1" x14ac:dyDescent="0.2">
      <c r="A17" s="22" t="s">
        <v>72</v>
      </c>
      <c r="B17" s="22" t="s">
        <v>230</v>
      </c>
      <c r="C17" s="63" t="s">
        <v>206</v>
      </c>
    </row>
    <row r="18" spans="1:3" ht="15" customHeight="1" x14ac:dyDescent="0.2">
      <c r="A18" s="13" t="s">
        <v>85</v>
      </c>
      <c r="B18" s="64" t="s">
        <v>209</v>
      </c>
      <c r="C18" s="65">
        <f>VLOOKUP(B18,$A$6:$B$14,2,FALSE())</f>
        <v>0.01</v>
      </c>
    </row>
    <row r="19" spans="1:3" ht="15" customHeight="1" x14ac:dyDescent="0.2">
      <c r="A19" s="13" t="s">
        <v>86</v>
      </c>
      <c r="B19" s="64" t="s">
        <v>209</v>
      </c>
      <c r="C19" s="65">
        <f>VLOOKUP(B19,$A$6:$B$14,2,FALSE())</f>
        <v>0.01</v>
      </c>
    </row>
    <row r="20" spans="1:3" ht="15" customHeight="1" x14ac:dyDescent="0.2">
      <c r="A20" s="13" t="s">
        <v>87</v>
      </c>
      <c r="B20" s="64" t="s">
        <v>209</v>
      </c>
      <c r="C20" s="65">
        <f>VLOOKUP(B20,$A$6:$B$14,2,FALSE())</f>
        <v>0.01</v>
      </c>
    </row>
  </sheetData>
  <dataValidations count="1">
    <dataValidation type="list" allowBlank="1" errorTitle="Invalid vendor" error="Pick a vendor from the list" promptTitle="Vendor" prompt="Select a vendor" sqref="B18:B20" xr:uid="{00000000-0002-0000-0400-000000000000}">
      <formula1>$A$6:$A$14</formula1>
      <formula2>0</formula2>
    </dataValidation>
  </dataValidations>
  <hyperlinks>
    <hyperlink ref="E7" r:id="rId1" xr:uid="{00000000-0004-0000-0400-000000000000}"/>
    <hyperlink ref="E8" r:id="rId2" xr:uid="{00000000-0004-0000-0400-000001000000}"/>
    <hyperlink ref="E11" r:id="rId3" xr:uid="{00000000-0004-0000-0400-000002000000}"/>
  </hyperlinks>
  <pageMargins left="0.75" right="0.75" top="1" bottom="1" header="0.511811023622047" footer="0.511811023622047"/>
  <pageSetup paperSize="9" orientation="portrait" horizontalDpi="300" verticalDpi="300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zoomScaleNormal="100" workbookViewId="0">
      <selection activeCell="D15" sqref="D15"/>
    </sheetView>
  </sheetViews>
  <sheetFormatPr baseColWidth="10" defaultColWidth="8.6640625" defaultRowHeight="15" x14ac:dyDescent="0.2"/>
  <cols>
    <col min="1" max="1" width="30" customWidth="1"/>
    <col min="2" max="3" width="15" customWidth="1"/>
    <col min="4" max="4" width="40" customWidth="1"/>
    <col min="5" max="5" width="42" customWidth="1"/>
  </cols>
  <sheetData>
    <row r="1" spans="1:5" ht="15" customHeight="1" x14ac:dyDescent="0.2">
      <c r="A1" s="2" t="s">
        <v>231</v>
      </c>
    </row>
    <row r="2" spans="1:5" ht="15" customHeight="1" x14ac:dyDescent="0.2">
      <c r="A2" s="31" t="s">
        <v>232</v>
      </c>
    </row>
    <row r="4" spans="1:5" ht="15" customHeight="1" x14ac:dyDescent="0.2">
      <c r="A4" s="1" t="s">
        <v>233</v>
      </c>
      <c r="B4" s="16"/>
      <c r="C4" s="16"/>
      <c r="D4" s="16"/>
    </row>
    <row r="5" spans="1:5" ht="15" customHeight="1" x14ac:dyDescent="0.2">
      <c r="A5" s="22" t="s">
        <v>205</v>
      </c>
      <c r="B5" s="22" t="s">
        <v>206</v>
      </c>
      <c r="C5" s="22" t="s">
        <v>207</v>
      </c>
      <c r="D5" s="22" t="s">
        <v>208</v>
      </c>
    </row>
    <row r="6" spans="1:5" ht="15" customHeight="1" x14ac:dyDescent="0.2">
      <c r="A6" s="3" t="s">
        <v>234</v>
      </c>
      <c r="B6" s="58">
        <v>8.3000000000000001E-3</v>
      </c>
      <c r="C6" s="3" t="s">
        <v>210</v>
      </c>
      <c r="D6" s="34" t="s">
        <v>235</v>
      </c>
      <c r="E6" s="60" t="s">
        <v>236</v>
      </c>
    </row>
    <row r="7" spans="1:5" ht="15" customHeight="1" x14ac:dyDescent="0.2">
      <c r="A7" s="3" t="s">
        <v>237</v>
      </c>
      <c r="B7" s="58">
        <v>4.1999999999999997E-3</v>
      </c>
      <c r="C7" s="3" t="s">
        <v>210</v>
      </c>
      <c r="D7" s="34" t="s">
        <v>238</v>
      </c>
      <c r="E7" s="60" t="s">
        <v>239</v>
      </c>
    </row>
    <row r="8" spans="1:5" ht="15" customHeight="1" x14ac:dyDescent="0.2">
      <c r="A8" s="3" t="s">
        <v>240</v>
      </c>
      <c r="B8" s="58">
        <v>6.0000000000000001E-3</v>
      </c>
      <c r="C8" s="3" t="s">
        <v>210</v>
      </c>
      <c r="D8" s="34" t="s">
        <v>241</v>
      </c>
      <c r="E8" s="60" t="s">
        <v>239</v>
      </c>
    </row>
    <row r="9" spans="1:5" ht="15" customHeight="1" x14ac:dyDescent="0.2">
      <c r="A9" s="3" t="s">
        <v>242</v>
      </c>
      <c r="B9" s="58">
        <v>3.0000000000000001E-3</v>
      </c>
      <c r="C9" s="3" t="s">
        <v>210</v>
      </c>
      <c r="D9" s="34" t="s">
        <v>243</v>
      </c>
    </row>
    <row r="10" spans="1:5" ht="15" customHeight="1" x14ac:dyDescent="0.2">
      <c r="A10" s="3" t="s">
        <v>227</v>
      </c>
      <c r="B10" s="58">
        <v>2E-3</v>
      </c>
      <c r="C10" s="3" t="s">
        <v>210</v>
      </c>
      <c r="D10" s="59" t="s">
        <v>244</v>
      </c>
    </row>
    <row r="11" spans="1:5" ht="15" customHeight="1" x14ac:dyDescent="0.2">
      <c r="A11" s="3"/>
      <c r="B11" s="58"/>
      <c r="C11" s="3"/>
      <c r="D11" s="3"/>
    </row>
    <row r="12" spans="1:5" ht="15" customHeight="1" x14ac:dyDescent="0.2">
      <c r="A12" s="1" t="s">
        <v>245</v>
      </c>
      <c r="B12" s="16"/>
      <c r="C12" s="16"/>
      <c r="D12" s="16"/>
    </row>
    <row r="13" spans="1:5" ht="15" customHeight="1" x14ac:dyDescent="0.2">
      <c r="A13" s="22" t="s">
        <v>72</v>
      </c>
      <c r="B13" s="22" t="s">
        <v>230</v>
      </c>
      <c r="C13" s="22" t="s">
        <v>206</v>
      </c>
    </row>
    <row r="14" spans="1:5" ht="15" customHeight="1" x14ac:dyDescent="0.2">
      <c r="A14" s="13" t="s">
        <v>85</v>
      </c>
      <c r="B14" s="66" t="s">
        <v>237</v>
      </c>
      <c r="C14" s="65">
        <f>VLOOKUP(B14,$A$6:$B$10,2,FALSE())</f>
        <v>4.1999999999999997E-3</v>
      </c>
    </row>
    <row r="15" spans="1:5" ht="15" customHeight="1" x14ac:dyDescent="0.2">
      <c r="A15" s="13" t="s">
        <v>86</v>
      </c>
      <c r="B15" s="64" t="s">
        <v>237</v>
      </c>
      <c r="C15" s="65">
        <f>VLOOKUP(B15,$A$6:$B$10,2,FALSE())</f>
        <v>4.1999999999999997E-3</v>
      </c>
    </row>
    <row r="16" spans="1:5" ht="15" customHeight="1" x14ac:dyDescent="0.2">
      <c r="A16" s="13" t="s">
        <v>87</v>
      </c>
      <c r="B16" s="64" t="s">
        <v>237</v>
      </c>
      <c r="C16" s="65">
        <f>VLOOKUP(B16,$A$6:$B$10,2,FALSE())</f>
        <v>4.1999999999999997E-3</v>
      </c>
    </row>
    <row r="18" spans="1:5" ht="15" customHeight="1" x14ac:dyDescent="0.2">
      <c r="A18" s="1" t="s">
        <v>246</v>
      </c>
      <c r="B18" s="16"/>
      <c r="C18" s="16"/>
      <c r="D18" s="16"/>
    </row>
    <row r="19" spans="1:5" ht="15" customHeight="1" x14ac:dyDescent="0.2">
      <c r="A19" s="22" t="s">
        <v>205</v>
      </c>
      <c r="B19" s="22" t="s">
        <v>206</v>
      </c>
      <c r="C19" s="22" t="s">
        <v>207</v>
      </c>
      <c r="D19" s="22" t="s">
        <v>208</v>
      </c>
    </row>
    <row r="20" spans="1:5" ht="15" customHeight="1" x14ac:dyDescent="0.2">
      <c r="A20" s="3" t="s">
        <v>247</v>
      </c>
      <c r="B20" s="58">
        <v>6.7499999999999999E-3</v>
      </c>
      <c r="C20" s="3" t="s">
        <v>210</v>
      </c>
      <c r="D20" s="34" t="s">
        <v>248</v>
      </c>
      <c r="E20" s="60" t="s">
        <v>236</v>
      </c>
    </row>
    <row r="21" spans="1:5" ht="15" customHeight="1" x14ac:dyDescent="0.2">
      <c r="A21" s="3" t="s">
        <v>249</v>
      </c>
      <c r="B21" s="58">
        <v>1.4999999999999999E-2</v>
      </c>
      <c r="C21" s="3" t="s">
        <v>210</v>
      </c>
      <c r="D21" s="34" t="s">
        <v>250</v>
      </c>
      <c r="E21" s="60" t="s">
        <v>251</v>
      </c>
    </row>
    <row r="22" spans="1:5" ht="15" customHeight="1" x14ac:dyDescent="0.2">
      <c r="A22" s="3" t="s">
        <v>252</v>
      </c>
      <c r="B22" s="58">
        <v>0.05</v>
      </c>
      <c r="C22" s="3" t="s">
        <v>210</v>
      </c>
      <c r="D22" s="34" t="s">
        <v>253</v>
      </c>
      <c r="E22" s="60" t="s">
        <v>254</v>
      </c>
    </row>
    <row r="23" spans="1:5" ht="15" customHeight="1" x14ac:dyDescent="0.2">
      <c r="A23" s="3" t="s">
        <v>255</v>
      </c>
      <c r="B23" s="58">
        <v>0.17</v>
      </c>
      <c r="C23" s="3" t="s">
        <v>210</v>
      </c>
      <c r="D23" s="34" t="s">
        <v>256</v>
      </c>
      <c r="E23" s="60" t="s">
        <v>254</v>
      </c>
    </row>
    <row r="24" spans="1:5" ht="15" customHeight="1" x14ac:dyDescent="0.2">
      <c r="A24" s="3" t="s">
        <v>227</v>
      </c>
      <c r="B24" s="58">
        <v>0.01</v>
      </c>
      <c r="C24" s="3" t="s">
        <v>210</v>
      </c>
      <c r="D24" s="59" t="s">
        <v>244</v>
      </c>
    </row>
    <row r="26" spans="1:5" ht="15" customHeight="1" x14ac:dyDescent="0.2">
      <c r="A26" s="1" t="s">
        <v>257</v>
      </c>
      <c r="B26" s="16"/>
      <c r="C26" s="16"/>
      <c r="D26" s="16"/>
    </row>
    <row r="27" spans="1:5" ht="15" customHeight="1" x14ac:dyDescent="0.2">
      <c r="A27" s="22" t="s">
        <v>72</v>
      </c>
      <c r="B27" s="22" t="s">
        <v>230</v>
      </c>
      <c r="C27" s="22" t="s">
        <v>206</v>
      </c>
    </row>
    <row r="28" spans="1:5" ht="15" customHeight="1" x14ac:dyDescent="0.2">
      <c r="A28" s="13" t="s">
        <v>85</v>
      </c>
      <c r="B28" s="64" t="s">
        <v>247</v>
      </c>
      <c r="C28" s="65">
        <f>VLOOKUP(B28,$A$20:$B$24,2,FALSE())</f>
        <v>6.7499999999999999E-3</v>
      </c>
    </row>
    <row r="29" spans="1:5" ht="15" customHeight="1" x14ac:dyDescent="0.2">
      <c r="A29" s="13" t="s">
        <v>86</v>
      </c>
      <c r="B29" s="64" t="s">
        <v>249</v>
      </c>
      <c r="C29" s="65">
        <f>VLOOKUP(B29,$A$20:$B$24,2,FALSE())</f>
        <v>1.4999999999999999E-2</v>
      </c>
    </row>
    <row r="30" spans="1:5" ht="15" customHeight="1" x14ac:dyDescent="0.2">
      <c r="A30" s="13" t="s">
        <v>87</v>
      </c>
      <c r="B30" s="64" t="s">
        <v>252</v>
      </c>
      <c r="C30" s="65">
        <f>VLOOKUP(B30,$A$20:$B$24,2,FALSE())</f>
        <v>0.05</v>
      </c>
    </row>
  </sheetData>
  <dataValidations count="2">
    <dataValidation type="list" allowBlank="1" errorTitle="Invalid vendor" error="Pick a vendor from the list" promptTitle="Vendor" prompt="Select a vendor" sqref="B14:B16" xr:uid="{00000000-0002-0000-0500-000000000000}">
      <formula1>$A$6:$A$10</formula1>
      <formula2>0</formula2>
    </dataValidation>
    <dataValidation type="list" allowBlank="1" errorTitle="Invalid vendor" error="Pick a vendor from the list" promptTitle="Vendor" prompt="Select a vendor" sqref="B28:B30" xr:uid="{00000000-0002-0000-0500-000001000000}">
      <formula1>$A$20:$A$24</formula1>
      <formula2>0</formula2>
    </dataValidation>
  </dataValidations>
  <hyperlinks>
    <hyperlink ref="E6" r:id="rId1" xr:uid="{00000000-0004-0000-0500-000000000000}"/>
    <hyperlink ref="E7" r:id="rId2" xr:uid="{00000000-0004-0000-0500-000001000000}"/>
    <hyperlink ref="E8" r:id="rId3" xr:uid="{00000000-0004-0000-0500-000002000000}"/>
    <hyperlink ref="E20" r:id="rId4" xr:uid="{00000000-0004-0000-0500-000003000000}"/>
    <hyperlink ref="E21" r:id="rId5" xr:uid="{00000000-0004-0000-0500-000004000000}"/>
    <hyperlink ref="E22" r:id="rId6" xr:uid="{00000000-0004-0000-0500-000005000000}"/>
    <hyperlink ref="E23" r:id="rId7" xr:uid="{00000000-0004-0000-0500-000006000000}"/>
  </hyperlinks>
  <pageMargins left="0.75" right="0.75" top="1" bottom="1" header="0.511811023622047" footer="0.511811023622047"/>
  <pageSetup paperSize="9" orientation="portrait" horizontalDpi="300" verticalDpi="300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zoomScaleNormal="100" workbookViewId="0">
      <selection activeCell="F8" sqref="F8"/>
    </sheetView>
  </sheetViews>
  <sheetFormatPr baseColWidth="10" defaultColWidth="8.6640625" defaultRowHeight="15" x14ac:dyDescent="0.2"/>
  <cols>
    <col min="1" max="1" width="30" customWidth="1"/>
    <col min="2" max="3" width="14" customWidth="1"/>
    <col min="4" max="5" width="42" customWidth="1"/>
  </cols>
  <sheetData>
    <row r="1" spans="1:6" ht="15" customHeight="1" x14ac:dyDescent="0.2">
      <c r="A1" s="67" t="s">
        <v>258</v>
      </c>
    </row>
    <row r="2" spans="1:6" ht="15" customHeight="1" x14ac:dyDescent="0.2">
      <c r="A2" s="68" t="s">
        <v>259</v>
      </c>
    </row>
    <row r="4" spans="1:6" ht="15" customHeight="1" x14ac:dyDescent="0.2">
      <c r="A4" s="32" t="s">
        <v>204</v>
      </c>
      <c r="B4" s="16"/>
      <c r="C4" s="16"/>
      <c r="D4" s="16"/>
    </row>
    <row r="5" spans="1:6" ht="15" customHeight="1" x14ac:dyDescent="0.2">
      <c r="A5" s="69" t="s">
        <v>205</v>
      </c>
      <c r="B5" s="69" t="s">
        <v>206</v>
      </c>
      <c r="C5" s="69" t="s">
        <v>207</v>
      </c>
      <c r="D5" s="69" t="s">
        <v>208</v>
      </c>
    </row>
    <row r="6" spans="1:6" ht="15" customHeight="1" x14ac:dyDescent="0.2">
      <c r="A6" s="35" t="s">
        <v>260</v>
      </c>
      <c r="B6" s="70">
        <v>5.0000000000000001E-3</v>
      </c>
      <c r="C6" s="35" t="s">
        <v>210</v>
      </c>
      <c r="D6" s="34" t="s">
        <v>261</v>
      </c>
      <c r="E6" s="60" t="s">
        <v>236</v>
      </c>
    </row>
    <row r="7" spans="1:6" ht="15" customHeight="1" x14ac:dyDescent="0.2">
      <c r="A7" s="35" t="s">
        <v>262</v>
      </c>
      <c r="B7" s="70">
        <v>2.5000000000000001E-3</v>
      </c>
      <c r="C7" s="35" t="s">
        <v>210</v>
      </c>
      <c r="D7" s="34" t="s">
        <v>263</v>
      </c>
      <c r="E7" s="60" t="s">
        <v>236</v>
      </c>
    </row>
    <row r="8" spans="1:6" ht="15" customHeight="1" x14ac:dyDescent="0.2">
      <c r="A8" s="35" t="s">
        <v>264</v>
      </c>
      <c r="B8" s="70">
        <v>0.02</v>
      </c>
      <c r="C8" s="35" t="s">
        <v>210</v>
      </c>
      <c r="D8" s="34" t="s">
        <v>265</v>
      </c>
      <c r="E8" s="60" t="s">
        <v>266</v>
      </c>
      <c r="F8" t="s">
        <v>267</v>
      </c>
    </row>
    <row r="9" spans="1:6" ht="15" customHeight="1" x14ac:dyDescent="0.2">
      <c r="A9" s="35" t="s">
        <v>227</v>
      </c>
      <c r="B9" s="70">
        <v>1E-3</v>
      </c>
      <c r="C9" s="35" t="s">
        <v>210</v>
      </c>
      <c r="D9" s="34" t="s">
        <v>244</v>
      </c>
    </row>
    <row r="10" spans="1:6" ht="15" customHeight="1" x14ac:dyDescent="0.2">
      <c r="A10" s="3"/>
      <c r="B10" s="58"/>
      <c r="C10" s="3"/>
      <c r="D10" s="3"/>
    </row>
    <row r="11" spans="1:6" ht="15" customHeight="1" x14ac:dyDescent="0.2">
      <c r="A11" s="32" t="s">
        <v>229</v>
      </c>
      <c r="B11" s="16"/>
      <c r="C11" s="16"/>
      <c r="D11" s="16"/>
    </row>
    <row r="12" spans="1:6" ht="15" customHeight="1" x14ac:dyDescent="0.2">
      <c r="A12" s="69" t="s">
        <v>72</v>
      </c>
      <c r="B12" s="69" t="s">
        <v>230</v>
      </c>
      <c r="C12" s="69" t="s">
        <v>206</v>
      </c>
    </row>
    <row r="13" spans="1:6" ht="15" customHeight="1" x14ac:dyDescent="0.2">
      <c r="A13" s="71" t="s">
        <v>85</v>
      </c>
      <c r="B13" s="72" t="s">
        <v>260</v>
      </c>
      <c r="C13" s="73">
        <f>VLOOKUP(B13,$A$6:$B$9,2,FALSE())</f>
        <v>5.0000000000000001E-3</v>
      </c>
    </row>
    <row r="14" spans="1:6" ht="15" customHeight="1" x14ac:dyDescent="0.2">
      <c r="A14" s="71" t="s">
        <v>86</v>
      </c>
      <c r="B14" s="74" t="s">
        <v>260</v>
      </c>
      <c r="C14" s="73">
        <f>VLOOKUP(B14,$A$6:$B$9,2,FALSE())</f>
        <v>5.0000000000000001E-3</v>
      </c>
    </row>
    <row r="15" spans="1:6" ht="15" customHeight="1" x14ac:dyDescent="0.2">
      <c r="A15" s="71" t="s">
        <v>87</v>
      </c>
      <c r="B15" s="74" t="s">
        <v>260</v>
      </c>
      <c r="C15" s="73">
        <f>VLOOKUP(B15,$A$6:$B$9,2,FALSE())</f>
        <v>5.0000000000000001E-3</v>
      </c>
    </row>
  </sheetData>
  <dataValidations count="1">
    <dataValidation type="list" allowBlank="1" sqref="B13:B15" xr:uid="{00000000-0002-0000-0600-000000000000}">
      <formula1>$A$6:$A$9</formula1>
      <formula2>0</formula2>
    </dataValidation>
  </dataValidations>
  <hyperlinks>
    <hyperlink ref="E6" r:id="rId1" xr:uid="{00000000-0004-0000-0600-000000000000}"/>
    <hyperlink ref="E7" r:id="rId2" xr:uid="{00000000-0004-0000-0600-000001000000}"/>
    <hyperlink ref="E8" r:id="rId3" xr:uid="{00000000-0004-0000-0600-000002000000}"/>
  </hyperlinks>
  <pageMargins left="0.75" right="0.75" top="1" bottom="1" header="0.511811023622047" footer="0.511811023622047"/>
  <pageSetup paperSize="9" orientation="portrait" horizontalDpi="300" verticalDpi="300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30" customWidth="1"/>
    <col min="2" max="3" width="14" customWidth="1"/>
    <col min="4" max="4" width="50" customWidth="1"/>
    <col min="5" max="5" width="42" customWidth="1"/>
  </cols>
  <sheetData>
    <row r="1" spans="1:5" ht="15" customHeight="1" x14ac:dyDescent="0.2">
      <c r="A1" s="78" t="s">
        <v>268</v>
      </c>
      <c r="B1" s="78"/>
      <c r="C1" s="78"/>
      <c r="D1" s="78"/>
    </row>
    <row r="2" spans="1:5" ht="15" customHeight="1" x14ac:dyDescent="0.2">
      <c r="A2" s="79" t="s">
        <v>269</v>
      </c>
      <c r="B2" s="79"/>
      <c r="C2" s="79"/>
      <c r="D2" s="79"/>
    </row>
    <row r="4" spans="1:5" ht="15" customHeight="1" x14ac:dyDescent="0.2">
      <c r="A4" s="80" t="s">
        <v>204</v>
      </c>
      <c r="B4" s="80"/>
      <c r="C4" s="80"/>
      <c r="D4" s="80"/>
    </row>
    <row r="5" spans="1:5" ht="15" customHeight="1" x14ac:dyDescent="0.2">
      <c r="A5" s="22" t="s">
        <v>205</v>
      </c>
      <c r="B5" s="22" t="s">
        <v>206</v>
      </c>
      <c r="C5" s="22" t="s">
        <v>207</v>
      </c>
      <c r="D5" s="22" t="s">
        <v>208</v>
      </c>
    </row>
    <row r="6" spans="1:5" ht="15" customHeight="1" x14ac:dyDescent="0.2">
      <c r="A6" t="s">
        <v>270</v>
      </c>
      <c r="B6" s="58">
        <v>2E-3</v>
      </c>
      <c r="C6" t="s">
        <v>271</v>
      </c>
      <c r="D6" s="34" t="s">
        <v>272</v>
      </c>
      <c r="E6" s="60" t="s">
        <v>273</v>
      </c>
    </row>
    <row r="7" spans="1:5" ht="15" customHeight="1" x14ac:dyDescent="0.2">
      <c r="A7" t="s">
        <v>274</v>
      </c>
      <c r="B7" s="58">
        <v>6.0000000000000001E-3</v>
      </c>
      <c r="C7" t="s">
        <v>271</v>
      </c>
      <c r="D7" s="34" t="s">
        <v>275</v>
      </c>
      <c r="E7" s="60" t="s">
        <v>273</v>
      </c>
    </row>
    <row r="8" spans="1:5" ht="15" customHeight="1" x14ac:dyDescent="0.2">
      <c r="A8" t="s">
        <v>276</v>
      </c>
      <c r="B8" s="58">
        <v>0.01</v>
      </c>
      <c r="C8" t="s">
        <v>271</v>
      </c>
      <c r="D8" s="34" t="s">
        <v>277</v>
      </c>
      <c r="E8" s="60" t="s">
        <v>273</v>
      </c>
    </row>
    <row r="9" spans="1:5" ht="15" customHeight="1" x14ac:dyDescent="0.2">
      <c r="A9" t="s">
        <v>278</v>
      </c>
      <c r="B9" s="58">
        <v>3.0000000000000001E-3</v>
      </c>
      <c r="C9" t="s">
        <v>271</v>
      </c>
      <c r="D9" t="s">
        <v>279</v>
      </c>
    </row>
    <row r="10" spans="1:5" ht="15" customHeight="1" x14ac:dyDescent="0.2">
      <c r="A10" t="s">
        <v>280</v>
      </c>
      <c r="B10" s="58">
        <v>2.9999999999999997E-4</v>
      </c>
      <c r="C10" t="s">
        <v>271</v>
      </c>
      <c r="D10" t="s">
        <v>281</v>
      </c>
    </row>
    <row r="11" spans="1:5" ht="15" customHeight="1" x14ac:dyDescent="0.2">
      <c r="A11" s="3" t="s">
        <v>227</v>
      </c>
      <c r="B11" s="58">
        <v>1E-4</v>
      </c>
      <c r="C11" s="3" t="s">
        <v>271</v>
      </c>
      <c r="D11" s="3" t="s">
        <v>282</v>
      </c>
    </row>
    <row r="12" spans="1:5" ht="15" customHeight="1" x14ac:dyDescent="0.2">
      <c r="A12" s="80" t="s">
        <v>229</v>
      </c>
      <c r="B12" s="80"/>
      <c r="C12" s="80"/>
      <c r="D12" s="80"/>
    </row>
    <row r="13" spans="1:5" ht="15" customHeight="1" x14ac:dyDescent="0.2">
      <c r="A13" s="22" t="s">
        <v>72</v>
      </c>
      <c r="B13" s="22" t="s">
        <v>230</v>
      </c>
      <c r="C13" s="22" t="s">
        <v>206</v>
      </c>
    </row>
    <row r="14" spans="1:5" ht="15" customHeight="1" x14ac:dyDescent="0.2">
      <c r="A14" s="13" t="s">
        <v>85</v>
      </c>
      <c r="B14" s="66" t="s">
        <v>270</v>
      </c>
      <c r="C14" s="65">
        <f>VLOOKUP(B14,$A$6:$B$11,2,FALSE())</f>
        <v>2E-3</v>
      </c>
    </row>
    <row r="15" spans="1:5" ht="15" customHeight="1" x14ac:dyDescent="0.2">
      <c r="A15" s="13" t="s">
        <v>86</v>
      </c>
      <c r="B15" s="64" t="s">
        <v>274</v>
      </c>
      <c r="C15" s="65">
        <f>VLOOKUP(B15,$A$6:$B$11,2,FALSE())</f>
        <v>6.0000000000000001E-3</v>
      </c>
    </row>
    <row r="16" spans="1:5" ht="15" customHeight="1" x14ac:dyDescent="0.2">
      <c r="A16" s="13" t="s">
        <v>87</v>
      </c>
      <c r="B16" s="64" t="s">
        <v>274</v>
      </c>
      <c r="C16" s="65">
        <f>VLOOKUP(B16,$A$6:$B$11,2,FALSE())</f>
        <v>6.0000000000000001E-3</v>
      </c>
    </row>
  </sheetData>
  <mergeCells count="4">
    <mergeCell ref="A1:D1"/>
    <mergeCell ref="A2:D2"/>
    <mergeCell ref="A4:D4"/>
    <mergeCell ref="A12:D12"/>
  </mergeCells>
  <dataValidations count="1">
    <dataValidation type="list" allowBlank="1" errorTitle="Invalid vendor" error="Pick a vendor from the list" promptTitle="Vendor" prompt="Select a vendor" sqref="B14:B16" xr:uid="{00000000-0002-0000-0700-000000000000}">
      <formula1>$A$6:$A$11</formula1>
      <formula2>0</formula2>
    </dataValidation>
  </dataValidations>
  <hyperlinks>
    <hyperlink ref="E6" r:id="rId1" xr:uid="{00000000-0004-0000-0700-000000000000}"/>
    <hyperlink ref="E7" r:id="rId2" xr:uid="{00000000-0004-0000-0700-000001000000}"/>
    <hyperlink ref="E8" r:id="rId3" xr:uid="{00000000-0004-0000-0700-000002000000}"/>
  </hyperlinks>
  <pageMargins left="0.75" right="0.75" top="1" bottom="1" header="0.511811023622047" footer="0.511811023622047"/>
  <pageSetup paperSize="9" orientation="portrait" horizontalDpi="300" verticalDpi="300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2" width="26" customWidth="1"/>
    <col min="3" max="3" width="60" customWidth="1"/>
  </cols>
  <sheetData>
    <row r="1" spans="1:3" ht="15" customHeight="1" x14ac:dyDescent="0.2">
      <c r="A1" s="78" t="s">
        <v>283</v>
      </c>
      <c r="B1" s="78"/>
      <c r="C1" s="78"/>
    </row>
    <row r="3" spans="1:3" ht="15" customHeight="1" x14ac:dyDescent="0.2">
      <c r="A3" s="1" t="s">
        <v>284</v>
      </c>
      <c r="B3" s="1" t="s">
        <v>285</v>
      </c>
      <c r="C3" s="1" t="s">
        <v>286</v>
      </c>
    </row>
    <row r="4" spans="1:3" ht="15" customHeight="1" x14ac:dyDescent="0.2">
      <c r="A4" t="s">
        <v>287</v>
      </c>
      <c r="B4" t="s">
        <v>288</v>
      </c>
      <c r="C4" t="s">
        <v>289</v>
      </c>
    </row>
    <row r="5" spans="1:3" ht="15" customHeight="1" x14ac:dyDescent="0.2">
      <c r="A5" t="s">
        <v>290</v>
      </c>
      <c r="B5" t="s">
        <v>291</v>
      </c>
      <c r="C5" t="s">
        <v>292</v>
      </c>
    </row>
    <row r="6" spans="1:3" ht="15" customHeight="1" x14ac:dyDescent="0.2">
      <c r="A6" t="s">
        <v>293</v>
      </c>
      <c r="B6" t="s">
        <v>294</v>
      </c>
      <c r="C6" t="s">
        <v>295</v>
      </c>
    </row>
    <row r="7" spans="1:3" ht="15" customHeight="1" x14ac:dyDescent="0.2">
      <c r="A7" t="s">
        <v>296</v>
      </c>
      <c r="B7" t="s">
        <v>297</v>
      </c>
      <c r="C7" t="s">
        <v>298</v>
      </c>
    </row>
    <row r="8" spans="1:3" ht="15" customHeight="1" x14ac:dyDescent="0.2">
      <c r="A8" t="s">
        <v>299</v>
      </c>
      <c r="B8" t="s">
        <v>300</v>
      </c>
      <c r="C8" t="s">
        <v>301</v>
      </c>
    </row>
    <row r="9" spans="1:3" ht="15" customHeight="1" x14ac:dyDescent="0.2">
      <c r="A9" t="s">
        <v>302</v>
      </c>
      <c r="B9" t="s">
        <v>303</v>
      </c>
      <c r="C9" t="s">
        <v>304</v>
      </c>
    </row>
    <row r="10" spans="1:3" ht="15" customHeight="1" x14ac:dyDescent="0.2">
      <c r="A10" t="s">
        <v>305</v>
      </c>
      <c r="B10" t="s">
        <v>306</v>
      </c>
      <c r="C10" t="s">
        <v>307</v>
      </c>
    </row>
    <row r="11" spans="1:3" ht="15" customHeight="1" x14ac:dyDescent="0.2">
      <c r="A11" t="s">
        <v>308</v>
      </c>
      <c r="B11" t="s">
        <v>309</v>
      </c>
      <c r="C11" t="s">
        <v>310</v>
      </c>
    </row>
    <row r="12" spans="1:3" ht="15" customHeight="1" x14ac:dyDescent="0.2">
      <c r="A12" t="s">
        <v>311</v>
      </c>
      <c r="B12" t="s">
        <v>312</v>
      </c>
      <c r="C12" t="s">
        <v>313</v>
      </c>
    </row>
    <row r="13" spans="1:3" ht="15" customHeight="1" x14ac:dyDescent="0.2">
      <c r="A13" t="s">
        <v>314</v>
      </c>
      <c r="B13" t="s">
        <v>315</v>
      </c>
      <c r="C13" t="s">
        <v>316</v>
      </c>
    </row>
    <row r="14" spans="1:3" ht="15" customHeight="1" x14ac:dyDescent="0.2">
      <c r="A14" t="s">
        <v>317</v>
      </c>
      <c r="B14" t="s">
        <v>318</v>
      </c>
      <c r="C14" t="s">
        <v>319</v>
      </c>
    </row>
    <row r="15" spans="1:3" ht="15" customHeight="1" x14ac:dyDescent="0.2">
      <c r="A15" t="s">
        <v>320</v>
      </c>
      <c r="B15" t="s">
        <v>321</v>
      </c>
      <c r="C15" t="s">
        <v>322</v>
      </c>
    </row>
    <row r="16" spans="1:3" ht="15" customHeight="1" x14ac:dyDescent="0.2">
      <c r="A16" t="s">
        <v>323</v>
      </c>
      <c r="B16" t="s">
        <v>324</v>
      </c>
      <c r="C16" t="s">
        <v>325</v>
      </c>
    </row>
    <row r="17" spans="1:3" ht="15" customHeight="1" x14ac:dyDescent="0.2">
      <c r="A17" t="s">
        <v>326</v>
      </c>
      <c r="B17" t="s">
        <v>327</v>
      </c>
      <c r="C17" t="s">
        <v>328</v>
      </c>
    </row>
    <row r="18" spans="1:3" ht="15" customHeight="1" x14ac:dyDescent="0.2">
      <c r="A18" t="s">
        <v>329</v>
      </c>
      <c r="B18" t="s">
        <v>330</v>
      </c>
      <c r="C18" t="s">
        <v>331</v>
      </c>
    </row>
    <row r="19" spans="1:3" ht="15" customHeight="1" x14ac:dyDescent="0.2">
      <c r="A19" t="s">
        <v>332</v>
      </c>
      <c r="B19" t="s">
        <v>333</v>
      </c>
      <c r="C19" t="s">
        <v>334</v>
      </c>
    </row>
    <row r="20" spans="1:3" ht="15" customHeight="1" x14ac:dyDescent="0.2">
      <c r="A20" t="s">
        <v>335</v>
      </c>
      <c r="B20" t="s">
        <v>336</v>
      </c>
      <c r="C20" t="s">
        <v>64</v>
      </c>
    </row>
    <row r="21" spans="1:3" ht="15" customHeight="1" x14ac:dyDescent="0.2">
      <c r="A21" s="75" t="s">
        <v>337</v>
      </c>
      <c r="B21" s="75" t="s">
        <v>338</v>
      </c>
      <c r="C21" s="75" t="s">
        <v>339</v>
      </c>
    </row>
    <row r="22" spans="1:3" ht="15" customHeight="1" x14ac:dyDescent="0.2">
      <c r="A22" s="75" t="s">
        <v>340</v>
      </c>
      <c r="B22" s="75" t="s">
        <v>341</v>
      </c>
      <c r="C22" s="75" t="s">
        <v>342</v>
      </c>
    </row>
    <row r="23" spans="1:3" ht="15" customHeight="1" x14ac:dyDescent="0.2">
      <c r="A23" s="75" t="s">
        <v>343</v>
      </c>
      <c r="B23" s="75" t="s">
        <v>344</v>
      </c>
      <c r="C23" s="75" t="s">
        <v>345</v>
      </c>
    </row>
    <row r="24" spans="1:3" ht="15" customHeight="1" x14ac:dyDescent="0.2">
      <c r="A24" s="75" t="s">
        <v>346</v>
      </c>
      <c r="B24" s="75" t="s">
        <v>347</v>
      </c>
      <c r="C24" s="75" t="s">
        <v>348</v>
      </c>
    </row>
    <row r="25" spans="1:3" ht="15" customHeight="1" x14ac:dyDescent="0.2">
      <c r="A25" s="75" t="s">
        <v>349</v>
      </c>
      <c r="B25" s="75" t="s">
        <v>350</v>
      </c>
      <c r="C25" s="75" t="s">
        <v>351</v>
      </c>
    </row>
    <row r="26" spans="1:3" ht="15" customHeight="1" x14ac:dyDescent="0.2">
      <c r="A26" s="75" t="s">
        <v>352</v>
      </c>
      <c r="B26" s="75" t="s">
        <v>353</v>
      </c>
      <c r="C26" s="75" t="s">
        <v>354</v>
      </c>
    </row>
    <row r="27" spans="1:3" ht="15" customHeight="1" x14ac:dyDescent="0.2">
      <c r="A27" s="75" t="s">
        <v>355</v>
      </c>
      <c r="B27" s="75" t="s">
        <v>356</v>
      </c>
      <c r="C27" s="75" t="s">
        <v>357</v>
      </c>
    </row>
    <row r="28" spans="1:3" ht="15" customHeight="1" x14ac:dyDescent="0.2">
      <c r="A28" s="75" t="s">
        <v>115</v>
      </c>
      <c r="B28" s="75" t="s">
        <v>358</v>
      </c>
      <c r="C28" s="75" t="s">
        <v>359</v>
      </c>
    </row>
    <row r="29" spans="1:3" ht="15" customHeight="1" x14ac:dyDescent="0.2">
      <c r="A29" s="75" t="s">
        <v>32</v>
      </c>
      <c r="B29" s="75" t="s">
        <v>360</v>
      </c>
      <c r="C29" s="75" t="s">
        <v>361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798C36CECBD43B8C93CC65FE99C9F" ma:contentTypeVersion="4" ma:contentTypeDescription="Create a new document." ma:contentTypeScope="" ma:versionID="ab4d2ebf2dc2c951495a7fe3e93f97f5">
  <xsd:schema xmlns:xsd="http://www.w3.org/2001/XMLSchema" xmlns:xs="http://www.w3.org/2001/XMLSchema" xmlns:p="http://schemas.microsoft.com/office/2006/metadata/properties" xmlns:ns2="c7a1508f-3a17-4b85-b64a-22bed98c76f1" targetNamespace="http://schemas.microsoft.com/office/2006/metadata/properties" ma:root="true" ma:fieldsID="4c3883de898ba827a73bffc073845c62" ns2:_="">
    <xsd:import namespace="c7a1508f-3a17-4b85-b64a-22bed98c7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1508f-3a17-4b85-b64a-22bed98c7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24D948-83E0-4741-9DDA-629D8C786464}">
  <ds:schemaRefs>
    <ds:schemaRef ds:uri="http://www.w3.org/XML/1998/namespace"/>
    <ds:schemaRef ds:uri="http://schemas.microsoft.com/office/2006/documentManagement/types"/>
    <ds:schemaRef ds:uri="http://purl.org/dc/terms/"/>
    <ds:schemaRef ds:uri="c7a1508f-3a17-4b85-b64a-22bed98c76f1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32E2432-104E-402E-9DD5-ECB70832F6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30C630-D813-4233-AB9A-AE829DEC6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a1508f-3a17-4b85-b64a-22bed98c7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Feature Cost Build</vt:lpstr>
      <vt:lpstr>User &amp; Revenue Model</vt:lpstr>
      <vt:lpstr>Content Generation</vt:lpstr>
      <vt:lpstr>Tool — Avatar</vt:lpstr>
      <vt:lpstr>Tool — Voice AI</vt:lpstr>
      <vt:lpstr>Tool — Pronunciation</vt:lpstr>
      <vt:lpstr>Tool — LLM</vt:lpstr>
      <vt:lpstr>Open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Jan Hoffmann</cp:lastModifiedBy>
  <cp:revision>0</cp:revision>
  <dcterms:created xsi:type="dcterms:W3CDTF">2026-05-18T15:31:54Z</dcterms:created>
  <dcterms:modified xsi:type="dcterms:W3CDTF">2026-06-14T04:59:24Z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0x010100BA2798C36CECBD43B8C93CC65FE99C9F</vt:lpwstr>
  </property>
</Properties>
</file>